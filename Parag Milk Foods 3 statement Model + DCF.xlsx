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mukhe\Documents\"/>
    </mc:Choice>
  </mc:AlternateContent>
  <xr:revisionPtr revIDLastSave="0" documentId="13_ncr:1_{F34A018F-F3C5-4661-90BB-A4167868B3AA}" xr6:coauthVersionLast="47" xr6:coauthVersionMax="47" xr10:uidLastSave="{00000000-0000-0000-0000-000000000000}"/>
  <bookViews>
    <workbookView xWindow="-110" yWindow="-110" windowWidth="19420" windowHeight="11020" xr2:uid="{182AAB4D-747B-40AB-A5B1-E85A966F4E83}"/>
  </bookViews>
  <sheets>
    <sheet name="Cover" sheetId="7" r:id="rId1"/>
    <sheet name="Checks" sheetId="9" r:id="rId2"/>
    <sheet name="Assumptions" sheetId="6" r:id="rId3"/>
    <sheet name="Income Statement" sheetId="5" r:id="rId4"/>
    <sheet name="Balance Sheet" sheetId="4" r:id="rId5"/>
    <sheet name="Cash Flow Statement" sheetId="3" r:id="rId6"/>
    <sheet name="DCF" sheetId="1" r:id="rId7"/>
    <sheet name="Comps" sheetId="12"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60" i="6" l="1"/>
  <c r="D63" i="6"/>
  <c r="C63" i="6"/>
  <c r="H23" i="1" l="1"/>
  <c r="I12" i="1"/>
  <c r="J12" i="1" s="1"/>
  <c r="K12" i="1" s="1"/>
  <c r="L12" i="1" s="1"/>
  <c r="M12" i="1" s="1"/>
  <c r="C19" i="12"/>
  <c r="C15" i="12"/>
  <c r="K12" i="12"/>
  <c r="L12" i="12"/>
  <c r="M12" i="12"/>
  <c r="J12" i="12"/>
  <c r="K11" i="12"/>
  <c r="L11" i="12"/>
  <c r="M11" i="12"/>
  <c r="J11" i="12"/>
  <c r="L8" i="12"/>
  <c r="L9" i="12"/>
  <c r="L7" i="12"/>
  <c r="K8" i="12"/>
  <c r="K9" i="12"/>
  <c r="K7" i="12"/>
  <c r="J8" i="12"/>
  <c r="J9" i="12"/>
  <c r="J7" i="12"/>
  <c r="G8" i="12"/>
  <c r="G9" i="12"/>
  <c r="G7" i="12"/>
  <c r="E8" i="12"/>
  <c r="E9" i="12"/>
  <c r="E7" i="12"/>
  <c r="C6" i="7"/>
  <c r="I6" i="7"/>
  <c r="C34" i="1" l="1"/>
  <c r="C21" i="1"/>
  <c r="C20" i="1"/>
  <c r="C19" i="1"/>
  <c r="H20" i="3"/>
  <c r="D10" i="4"/>
  <c r="E10" i="4"/>
  <c r="F10" i="4"/>
  <c r="G14" i="3"/>
  <c r="G15" i="3" s="1"/>
  <c r="D20" i="3"/>
  <c r="E20" i="3"/>
  <c r="F20" i="3"/>
  <c r="G20" i="3"/>
  <c r="C20" i="3"/>
  <c r="E11" i="3"/>
  <c r="F11" i="3"/>
  <c r="G11" i="3"/>
  <c r="D11" i="3"/>
  <c r="E10" i="3"/>
  <c r="F10" i="3"/>
  <c r="G10" i="3"/>
  <c r="D10" i="3"/>
  <c r="E9" i="3"/>
  <c r="F9" i="3"/>
  <c r="G9" i="3"/>
  <c r="D9" i="3"/>
  <c r="C18" i="3"/>
  <c r="D14" i="3"/>
  <c r="D15" i="3" s="1"/>
  <c r="E14" i="3"/>
  <c r="E15" i="3" s="1"/>
  <c r="F14" i="3"/>
  <c r="F15" i="3" s="1"/>
  <c r="C14" i="3"/>
  <c r="C15" i="3" s="1"/>
  <c r="H21" i="4"/>
  <c r="I21" i="4"/>
  <c r="J21" i="4"/>
  <c r="K21" i="4"/>
  <c r="L21" i="4"/>
  <c r="M21" i="4"/>
  <c r="H29" i="4"/>
  <c r="I29" i="4"/>
  <c r="J29" i="4"/>
  <c r="K29" i="4"/>
  <c r="L29" i="4"/>
  <c r="M29" i="4"/>
  <c r="D29" i="4"/>
  <c r="E29" i="4"/>
  <c r="F29" i="4"/>
  <c r="G29" i="4"/>
  <c r="C29" i="4"/>
  <c r="D52" i="6"/>
  <c r="E52" i="6"/>
  <c r="F52" i="6"/>
  <c r="G52" i="6"/>
  <c r="C52" i="6"/>
  <c r="D33" i="4"/>
  <c r="E33" i="4"/>
  <c r="F33" i="4"/>
  <c r="G33" i="4"/>
  <c r="C33" i="4"/>
  <c r="D12" i="4"/>
  <c r="E12" i="4"/>
  <c r="F12" i="4"/>
  <c r="G12" i="4"/>
  <c r="C12" i="4"/>
  <c r="D31" i="6"/>
  <c r="E31" i="6"/>
  <c r="C31" i="6"/>
  <c r="D32" i="4"/>
  <c r="E32" i="4"/>
  <c r="C32" i="4"/>
  <c r="D27" i="4"/>
  <c r="E27" i="4"/>
  <c r="C27" i="4"/>
  <c r="C30" i="4" s="1"/>
  <c r="G30" i="6"/>
  <c r="G32" i="4" s="1"/>
  <c r="F30" i="6"/>
  <c r="F32" i="4" s="1"/>
  <c r="G29" i="6"/>
  <c r="F29" i="6"/>
  <c r="F27" i="4" s="1"/>
  <c r="D13" i="4"/>
  <c r="E13" i="4"/>
  <c r="F13" i="4"/>
  <c r="G13" i="4"/>
  <c r="C13" i="4"/>
  <c r="D40" i="6"/>
  <c r="D16" i="5" s="1"/>
  <c r="E40" i="6"/>
  <c r="C40" i="6"/>
  <c r="G38" i="6"/>
  <c r="F38" i="6"/>
  <c r="G37" i="6"/>
  <c r="F37" i="6"/>
  <c r="D14" i="5"/>
  <c r="E14" i="5"/>
  <c r="F14" i="5"/>
  <c r="G14" i="5"/>
  <c r="C14" i="5"/>
  <c r="D10" i="5"/>
  <c r="E10" i="5"/>
  <c r="F10" i="5"/>
  <c r="G10" i="5"/>
  <c r="C10" i="5"/>
  <c r="D9" i="5"/>
  <c r="E9" i="5"/>
  <c r="F9" i="5"/>
  <c r="G9" i="5"/>
  <c r="C9" i="5"/>
  <c r="D12" i="5"/>
  <c r="D7" i="3" s="1"/>
  <c r="E12" i="5"/>
  <c r="E7" i="3" s="1"/>
  <c r="F12" i="5"/>
  <c r="F7" i="3" s="1"/>
  <c r="G12" i="5"/>
  <c r="G7" i="3" s="1"/>
  <c r="C12" i="5"/>
  <c r="C7" i="3" s="1"/>
  <c r="D14" i="6"/>
  <c r="D7" i="5" s="1"/>
  <c r="E14" i="6"/>
  <c r="E7" i="5" s="1"/>
  <c r="F14" i="6"/>
  <c r="F7" i="5" s="1"/>
  <c r="G14" i="6"/>
  <c r="G7" i="5" s="1"/>
  <c r="C14" i="6"/>
  <c r="C7" i="5" s="1"/>
  <c r="D6" i="5"/>
  <c r="E6" i="5"/>
  <c r="C6" i="5"/>
  <c r="G7" i="6"/>
  <c r="G25" i="6" s="1"/>
  <c r="F7" i="6"/>
  <c r="F46" i="6" s="1"/>
  <c r="C33" i="6"/>
  <c r="D58" i="6"/>
  <c r="E58" i="6"/>
  <c r="C58" i="6"/>
  <c r="C46" i="6"/>
  <c r="D46" i="6"/>
  <c r="E46" i="6"/>
  <c r="D25" i="6"/>
  <c r="E25" i="6"/>
  <c r="C25" i="6"/>
  <c r="D21" i="6"/>
  <c r="D18" i="6"/>
  <c r="E18" i="6"/>
  <c r="C18" i="6"/>
  <c r="E8" i="6"/>
  <c r="H10" i="7" a="1"/>
  <c r="H10" i="7" s="1"/>
  <c r="E37" i="1" l="1"/>
  <c r="E17" i="3"/>
  <c r="E18" i="3" s="1"/>
  <c r="E30" i="4"/>
  <c r="D30" i="4"/>
  <c r="F30" i="4"/>
  <c r="E32" i="6"/>
  <c r="E33" i="6" s="1"/>
  <c r="G40" i="6"/>
  <c r="G31" i="6"/>
  <c r="H30" i="6"/>
  <c r="I30" i="6" s="1"/>
  <c r="D17" i="3"/>
  <c r="D18" i="3" s="1"/>
  <c r="C22" i="1"/>
  <c r="C25" i="1" s="1"/>
  <c r="D35" i="4"/>
  <c r="D32" i="6"/>
  <c r="D33" i="6" s="1"/>
  <c r="H29" i="6"/>
  <c r="F35" i="4"/>
  <c r="G35" i="4"/>
  <c r="C35" i="4"/>
  <c r="C36" i="4" s="1"/>
  <c r="D16" i="4"/>
  <c r="D17" i="4" s="1"/>
  <c r="E35" i="4"/>
  <c r="E36" i="4" s="1"/>
  <c r="G16" i="4"/>
  <c r="F31" i="6"/>
  <c r="F32" i="6" s="1"/>
  <c r="F33" i="6" s="1"/>
  <c r="G49" i="6"/>
  <c r="G27" i="4"/>
  <c r="F49" i="6"/>
  <c r="E49" i="6"/>
  <c r="C49" i="6"/>
  <c r="D49" i="6"/>
  <c r="E16" i="4"/>
  <c r="E17" i="4" s="1"/>
  <c r="C16" i="4"/>
  <c r="F16" i="4"/>
  <c r="F17" i="4" s="1"/>
  <c r="F36" i="4"/>
  <c r="C10" i="4"/>
  <c r="G10" i="4"/>
  <c r="F40" i="6"/>
  <c r="C8" i="5"/>
  <c r="C11" i="5" s="1"/>
  <c r="C13" i="5" s="1"/>
  <c r="C15" i="5" s="1"/>
  <c r="C41" i="6" s="1"/>
  <c r="C42" i="6" s="1"/>
  <c r="C16" i="5"/>
  <c r="E16" i="5"/>
  <c r="E8" i="5"/>
  <c r="E11" i="5" s="1"/>
  <c r="E13" i="5" s="1"/>
  <c r="E15" i="5" s="1"/>
  <c r="E41" i="6" s="1"/>
  <c r="E42" i="6" s="1"/>
  <c r="D8" i="5"/>
  <c r="D11" i="5" s="1"/>
  <c r="D13" i="5" s="1"/>
  <c r="D15" i="5" s="1"/>
  <c r="F25" i="6"/>
  <c r="G6" i="5"/>
  <c r="F58" i="6"/>
  <c r="F6" i="5"/>
  <c r="F8" i="5" s="1"/>
  <c r="F11" i="5" s="1"/>
  <c r="F13" i="5" s="1"/>
  <c r="F15" i="5" s="1"/>
  <c r="F41" i="6" s="1"/>
  <c r="G18" i="6"/>
  <c r="G8" i="6"/>
  <c r="G46" i="6"/>
  <c r="G58" i="6"/>
  <c r="F18" i="6"/>
  <c r="D8" i="6"/>
  <c r="C21" i="6"/>
  <c r="C15" i="6"/>
  <c r="G21" i="6"/>
  <c r="G15" i="6"/>
  <c r="F21" i="6"/>
  <c r="F15" i="6"/>
  <c r="E21" i="6"/>
  <c r="E15" i="6"/>
  <c r="D15" i="6"/>
  <c r="F8" i="6"/>
  <c r="F22" i="4"/>
  <c r="F21" i="4"/>
  <c r="G22" i="4"/>
  <c r="G21" i="4"/>
  <c r="D23" i="4"/>
  <c r="E23" i="4"/>
  <c r="C23" i="4"/>
  <c r="F42" i="6" l="1"/>
  <c r="C18" i="12"/>
  <c r="C33" i="1"/>
  <c r="H32" i="4"/>
  <c r="D17" i="5"/>
  <c r="D6" i="3" s="1"/>
  <c r="D12" i="3" s="1"/>
  <c r="D19" i="3" s="1"/>
  <c r="D21" i="3" s="1"/>
  <c r="D41" i="6"/>
  <c r="D42" i="6" s="1"/>
  <c r="I13" i="1"/>
  <c r="H13" i="1"/>
  <c r="J13" i="1"/>
  <c r="K13" i="1"/>
  <c r="L13" i="1"/>
  <c r="M13" i="1"/>
  <c r="G17" i="3"/>
  <c r="G18" i="3" s="1"/>
  <c r="G16" i="5"/>
  <c r="D36" i="4"/>
  <c r="D37" i="4" s="1"/>
  <c r="D39" i="4" s="1"/>
  <c r="G30" i="4"/>
  <c r="G36" i="4" s="1"/>
  <c r="G37" i="4" s="1"/>
  <c r="I32" i="4"/>
  <c r="J30" i="6"/>
  <c r="I29" i="6"/>
  <c r="H27" i="4"/>
  <c r="H30" i="4" s="1"/>
  <c r="H31" i="6"/>
  <c r="G32" i="6"/>
  <c r="F17" i="3"/>
  <c r="F18" i="3" s="1"/>
  <c r="G23" i="4"/>
  <c r="G17" i="4"/>
  <c r="C17" i="4"/>
  <c r="E37" i="4"/>
  <c r="E40" i="4" s="1"/>
  <c r="F16" i="5"/>
  <c r="F17" i="5" s="1"/>
  <c r="F6" i="3" s="1"/>
  <c r="F12" i="3" s="1"/>
  <c r="F23" i="4"/>
  <c r="F37" i="4" s="1"/>
  <c r="F39" i="4" s="1"/>
  <c r="C37" i="4"/>
  <c r="C17" i="5"/>
  <c r="C6" i="3" s="1"/>
  <c r="C12" i="3" s="1"/>
  <c r="E17" i="5"/>
  <c r="E6" i="3" s="1"/>
  <c r="E12" i="3" s="1"/>
  <c r="E19" i="3" s="1"/>
  <c r="E21" i="3" s="1"/>
  <c r="G8" i="5"/>
  <c r="G11" i="5" s="1"/>
  <c r="G13" i="5" s="1"/>
  <c r="G15" i="5" s="1"/>
  <c r="G41" i="6" s="1"/>
  <c r="G42" i="6" s="1"/>
  <c r="H6" i="5"/>
  <c r="H7" i="6" s="1"/>
  <c r="C39" i="4" l="1"/>
  <c r="C19" i="3"/>
  <c r="C21" i="3" s="1"/>
  <c r="G39" i="4"/>
  <c r="E39" i="4"/>
  <c r="F19" i="3"/>
  <c r="F21" i="3" s="1"/>
  <c r="J29" i="6"/>
  <c r="I27" i="4"/>
  <c r="I30" i="4" s="1"/>
  <c r="I31" i="6"/>
  <c r="G33" i="6"/>
  <c r="I32" i="6"/>
  <c r="I28" i="6" s="1"/>
  <c r="I14" i="5" s="1"/>
  <c r="H17" i="3"/>
  <c r="H18" i="3" s="1"/>
  <c r="H32" i="6"/>
  <c r="H28" i="6" s="1"/>
  <c r="H14" i="5" s="1"/>
  <c r="H45" i="6"/>
  <c r="H57" i="6"/>
  <c r="H61" i="6" s="1"/>
  <c r="K30" i="6"/>
  <c r="J31" i="6"/>
  <c r="J32" i="4"/>
  <c r="D40" i="4"/>
  <c r="G40" i="4"/>
  <c r="F40" i="4"/>
  <c r="C40" i="4"/>
  <c r="H7" i="5"/>
  <c r="H14" i="6" s="1"/>
  <c r="H12" i="5"/>
  <c r="H62" i="6" s="1"/>
  <c r="H9" i="5"/>
  <c r="H17" i="6" s="1"/>
  <c r="I6" i="5"/>
  <c r="H10" i="5"/>
  <c r="H20" i="6" s="1"/>
  <c r="G17" i="5"/>
  <c r="G6" i="3" s="1"/>
  <c r="G12" i="3" s="1"/>
  <c r="G19" i="3" s="1"/>
  <c r="G21" i="3" s="1"/>
  <c r="H14" i="3" l="1"/>
  <c r="H8" i="5"/>
  <c r="H9" i="3"/>
  <c r="H13" i="4"/>
  <c r="J17" i="3"/>
  <c r="J18" i="3" s="1"/>
  <c r="H24" i="6"/>
  <c r="H7" i="3"/>
  <c r="H8" i="1"/>
  <c r="H9" i="1"/>
  <c r="I17" i="3"/>
  <c r="I18" i="3" s="1"/>
  <c r="J32" i="6"/>
  <c r="J28" i="6" s="1"/>
  <c r="J14" i="5" s="1"/>
  <c r="L30" i="6"/>
  <c r="K32" i="4"/>
  <c r="J27" i="4"/>
  <c r="J30" i="4" s="1"/>
  <c r="K29" i="6"/>
  <c r="K31" i="6" s="1"/>
  <c r="H48" i="6"/>
  <c r="H51" i="6"/>
  <c r="I7" i="5"/>
  <c r="I14" i="6" s="1"/>
  <c r="I7" i="6"/>
  <c r="H11" i="5"/>
  <c r="C16" i="12" s="1"/>
  <c r="C17" i="12" s="1"/>
  <c r="C20" i="12" s="1"/>
  <c r="C22" i="12" s="1"/>
  <c r="H14" i="7" s="1"/>
  <c r="I12" i="5"/>
  <c r="I62" i="6" s="1"/>
  <c r="I9" i="5"/>
  <c r="I17" i="6" s="1"/>
  <c r="I10" i="5"/>
  <c r="I20" i="6" s="1"/>
  <c r="J6" i="5"/>
  <c r="H13" i="5" l="1"/>
  <c r="H16" i="7"/>
  <c r="K17" i="3"/>
  <c r="K18" i="3" s="1"/>
  <c r="K32" i="6"/>
  <c r="K28" i="6" s="1"/>
  <c r="K14" i="5" s="1"/>
  <c r="H15" i="3"/>
  <c r="I24" i="6"/>
  <c r="I8" i="1"/>
  <c r="I7" i="3"/>
  <c r="I45" i="6"/>
  <c r="I57" i="6"/>
  <c r="I61" i="6" s="1"/>
  <c r="H12" i="4"/>
  <c r="H10" i="3"/>
  <c r="H10" i="1" s="1"/>
  <c r="I8" i="5"/>
  <c r="I11" i="5" s="1"/>
  <c r="I13" i="5" s="1"/>
  <c r="H15" i="5"/>
  <c r="H5" i="1"/>
  <c r="H6" i="1" s="1"/>
  <c r="H7" i="1" s="1"/>
  <c r="H33" i="4"/>
  <c r="H35" i="4" s="1"/>
  <c r="H36" i="4" s="1"/>
  <c r="H11" i="3"/>
  <c r="I51" i="6"/>
  <c r="I48" i="6"/>
  <c r="K27" i="4"/>
  <c r="K30" i="4" s="1"/>
  <c r="L29" i="6"/>
  <c r="L31" i="6" s="1"/>
  <c r="M30" i="6"/>
  <c r="L32" i="4"/>
  <c r="J7" i="5"/>
  <c r="J14" i="6" s="1"/>
  <c r="J7" i="6"/>
  <c r="K6" i="5"/>
  <c r="J12" i="5"/>
  <c r="J62" i="6" s="1"/>
  <c r="J9" i="5"/>
  <c r="J17" i="6" s="1"/>
  <c r="J10" i="5"/>
  <c r="J20" i="6" s="1"/>
  <c r="I14" i="3" l="1"/>
  <c r="H16" i="5"/>
  <c r="H41" i="6"/>
  <c r="H11" i="1"/>
  <c r="H14" i="1" s="1"/>
  <c r="J8" i="5"/>
  <c r="J11" i="5" s="1"/>
  <c r="J13" i="5" s="1"/>
  <c r="J5" i="1" s="1"/>
  <c r="J6" i="1" s="1"/>
  <c r="J7" i="1" s="1"/>
  <c r="I9" i="1"/>
  <c r="M32" i="4"/>
  <c r="L17" i="3"/>
  <c r="L18" i="3" s="1"/>
  <c r="I12" i="4"/>
  <c r="J24" i="6"/>
  <c r="J8" i="1"/>
  <c r="J7" i="3"/>
  <c r="I13" i="4"/>
  <c r="I9" i="3"/>
  <c r="L27" i="4"/>
  <c r="L30" i="4" s="1"/>
  <c r="M29" i="6"/>
  <c r="M27" i="4" s="1"/>
  <c r="M30" i="4" s="1"/>
  <c r="J51" i="6"/>
  <c r="J48" i="6"/>
  <c r="J12" i="4" s="1"/>
  <c r="I15" i="5"/>
  <c r="I5" i="1"/>
  <c r="I33" i="4"/>
  <c r="I35" i="4" s="1"/>
  <c r="I36" i="4" s="1"/>
  <c r="I11" i="3"/>
  <c r="J45" i="6"/>
  <c r="J57" i="6"/>
  <c r="J61" i="6" s="1"/>
  <c r="H17" i="5"/>
  <c r="I10" i="3"/>
  <c r="L32" i="6"/>
  <c r="L28" i="6" s="1"/>
  <c r="L14" i="5" s="1"/>
  <c r="K7" i="5"/>
  <c r="K14" i="6" s="1"/>
  <c r="K7" i="6"/>
  <c r="L6" i="5"/>
  <c r="K12" i="5"/>
  <c r="K62" i="6" s="1"/>
  <c r="K9" i="5"/>
  <c r="K17" i="6" s="1"/>
  <c r="K10" i="5"/>
  <c r="K20" i="6" s="1"/>
  <c r="I10" i="1" l="1"/>
  <c r="J14" i="3"/>
  <c r="I16" i="5"/>
  <c r="I41" i="6"/>
  <c r="J15" i="5"/>
  <c r="J13" i="4"/>
  <c r="J33" i="4"/>
  <c r="J35" i="4" s="1"/>
  <c r="J36" i="4" s="1"/>
  <c r="J11" i="3"/>
  <c r="I17" i="5"/>
  <c r="I15" i="3"/>
  <c r="K51" i="6"/>
  <c r="K48" i="6"/>
  <c r="J10" i="3"/>
  <c r="H22" i="4"/>
  <c r="H6" i="3"/>
  <c r="H12" i="3" s="1"/>
  <c r="H19" i="3" s="1"/>
  <c r="K24" i="6"/>
  <c r="K8" i="1"/>
  <c r="K7" i="3"/>
  <c r="M31" i="6"/>
  <c r="H22" i="1" s="1"/>
  <c r="J9" i="3"/>
  <c r="J10" i="1" s="1"/>
  <c r="J9" i="1"/>
  <c r="K8" i="5"/>
  <c r="K11" i="5" s="1"/>
  <c r="K13" i="5" s="1"/>
  <c r="K45" i="6"/>
  <c r="K57" i="6"/>
  <c r="K61" i="6" s="1"/>
  <c r="I6" i="1"/>
  <c r="I7" i="1" s="1"/>
  <c r="L7" i="5"/>
  <c r="L14" i="6" s="1"/>
  <c r="L7" i="6"/>
  <c r="M6" i="5"/>
  <c r="L12" i="5"/>
  <c r="L62" i="6" s="1"/>
  <c r="L9" i="5"/>
  <c r="L17" i="6" s="1"/>
  <c r="L10" i="5"/>
  <c r="L20" i="6" s="1"/>
  <c r="K14" i="3" l="1"/>
  <c r="J16" i="5"/>
  <c r="J17" i="5" s="1"/>
  <c r="J41" i="6"/>
  <c r="J11" i="1"/>
  <c r="I11" i="1"/>
  <c r="C21" i="9"/>
  <c r="C11" i="9" s="1"/>
  <c r="J6" i="3"/>
  <c r="E21" i="9"/>
  <c r="E11" i="9" s="1"/>
  <c r="I6" i="3"/>
  <c r="I12" i="3" s="1"/>
  <c r="I14" i="1"/>
  <c r="L51" i="6"/>
  <c r="L48" i="6"/>
  <c r="L10" i="3" s="1"/>
  <c r="J15" i="3"/>
  <c r="L45" i="6"/>
  <c r="L9" i="3" s="1"/>
  <c r="L57" i="6"/>
  <c r="L61" i="6" s="1"/>
  <c r="K9" i="1"/>
  <c r="L24" i="6"/>
  <c r="L8" i="1"/>
  <c r="L7" i="3"/>
  <c r="K15" i="5"/>
  <c r="K41" i="6" s="1"/>
  <c r="K5" i="1"/>
  <c r="K6" i="1" s="1"/>
  <c r="K7" i="1" s="1"/>
  <c r="K10" i="3"/>
  <c r="K12" i="4"/>
  <c r="I19" i="3"/>
  <c r="K13" i="4"/>
  <c r="K9" i="3"/>
  <c r="H23" i="4"/>
  <c r="H37" i="4" s="1"/>
  <c r="I22" i="4"/>
  <c r="K11" i="3"/>
  <c r="K33" i="4"/>
  <c r="K35" i="4" s="1"/>
  <c r="K36" i="4" s="1"/>
  <c r="M17" i="3"/>
  <c r="M18" i="3" s="1"/>
  <c r="M32" i="6"/>
  <c r="M28" i="6" s="1"/>
  <c r="M14" i="5" s="1"/>
  <c r="L8" i="5"/>
  <c r="L11" i="5" s="1"/>
  <c r="L13" i="5" s="1"/>
  <c r="J12" i="3"/>
  <c r="M7" i="5"/>
  <c r="M14" i="6" s="1"/>
  <c r="M7" i="6"/>
  <c r="M10" i="5"/>
  <c r="M20" i="6" s="1"/>
  <c r="M12" i="5"/>
  <c r="M62" i="6" s="1"/>
  <c r="M9" i="5"/>
  <c r="M17" i="6" s="1"/>
  <c r="K10" i="1" l="1"/>
  <c r="L14" i="3"/>
  <c r="K11" i="1"/>
  <c r="D21" i="9"/>
  <c r="D11" i="9" s="1"/>
  <c r="J14" i="1"/>
  <c r="J19" i="3"/>
  <c r="J22" i="4"/>
  <c r="I23" i="4"/>
  <c r="I37" i="4" s="1"/>
  <c r="M51" i="6"/>
  <c r="M48" i="6"/>
  <c r="M12" i="4" s="1"/>
  <c r="M45" i="6"/>
  <c r="M13" i="4" s="1"/>
  <c r="M57" i="6"/>
  <c r="M61" i="6" s="1"/>
  <c r="L13" i="4"/>
  <c r="L12" i="4"/>
  <c r="M24" i="6"/>
  <c r="M8" i="1"/>
  <c r="M7" i="3"/>
  <c r="L15" i="5"/>
  <c r="L41" i="6" s="1"/>
  <c r="L5" i="1"/>
  <c r="L6" i="1" s="1"/>
  <c r="L7" i="1" s="1"/>
  <c r="L9" i="1"/>
  <c r="M8" i="5"/>
  <c r="M11" i="5" s="1"/>
  <c r="H18" i="1" s="1"/>
  <c r="K16" i="5"/>
  <c r="K17" i="5" s="1"/>
  <c r="L11" i="3"/>
  <c r="L10" i="1" s="1"/>
  <c r="L33" i="4"/>
  <c r="L35" i="4" s="1"/>
  <c r="L36" i="4" s="1"/>
  <c r="K15" i="3"/>
  <c r="M14" i="3" l="1"/>
  <c r="M13" i="5"/>
  <c r="H19" i="1"/>
  <c r="H20" i="1" s="1"/>
  <c r="L11" i="1"/>
  <c r="L14" i="1" s="1"/>
  <c r="K14" i="1"/>
  <c r="M9" i="3"/>
  <c r="K6" i="3"/>
  <c r="K12" i="3" s="1"/>
  <c r="K19" i="3" s="1"/>
  <c r="M9" i="1"/>
  <c r="M15" i="5"/>
  <c r="M5" i="1"/>
  <c r="M11" i="3"/>
  <c r="M33" i="4"/>
  <c r="M35" i="4" s="1"/>
  <c r="M36" i="4" s="1"/>
  <c r="L16" i="5"/>
  <c r="L17" i="5" s="1"/>
  <c r="K22" i="4"/>
  <c r="J23" i="4"/>
  <c r="J37" i="4" s="1"/>
  <c r="L15" i="3"/>
  <c r="M10" i="3"/>
  <c r="H21" i="3"/>
  <c r="M10" i="1" l="1"/>
  <c r="M16" i="5"/>
  <c r="M17" i="5" s="1"/>
  <c r="M6" i="3" s="1"/>
  <c r="H21" i="9" s="1"/>
  <c r="H11" i="9" s="1"/>
  <c r="M41" i="6"/>
  <c r="M15" i="3"/>
  <c r="F21" i="9"/>
  <c r="F11" i="9" s="1"/>
  <c r="L6" i="3"/>
  <c r="L12" i="3" s="1"/>
  <c r="L19" i="3" s="1"/>
  <c r="I20" i="3"/>
  <c r="I21" i="3" s="1"/>
  <c r="H14" i="4"/>
  <c r="H16" i="4" s="1"/>
  <c r="L22" i="4"/>
  <c r="K23" i="4"/>
  <c r="K37" i="4" s="1"/>
  <c r="M6" i="1"/>
  <c r="M7" i="1" s="1"/>
  <c r="M11" i="1" l="1"/>
  <c r="C29" i="1" s="1"/>
  <c r="C31" i="1" s="1"/>
  <c r="M12" i="3"/>
  <c r="M19" i="3" s="1"/>
  <c r="G21" i="9"/>
  <c r="G11" i="9" s="1"/>
  <c r="M14" i="1"/>
  <c r="C27" i="1" s="1"/>
  <c r="C20" i="9"/>
  <c r="C10" i="9" s="1"/>
  <c r="I14" i="4"/>
  <c r="I16" i="4" s="1"/>
  <c r="J20" i="3"/>
  <c r="J21" i="3" s="1"/>
  <c r="K20" i="3" s="1"/>
  <c r="K21" i="3" s="1"/>
  <c r="L23" i="4"/>
  <c r="L37" i="4" s="1"/>
  <c r="M22" i="4"/>
  <c r="M23" i="4" s="1"/>
  <c r="M37" i="4" s="1"/>
  <c r="C30" i="1" l="1"/>
  <c r="C32" i="1"/>
  <c r="C35" i="1" s="1"/>
  <c r="C37" i="1" s="1"/>
  <c r="G37" i="1" s="1"/>
  <c r="H18" i="7" s="1"/>
  <c r="H21" i="1"/>
  <c r="H24" i="1" s="1"/>
  <c r="H25" i="1" s="1"/>
  <c r="H20" i="7" s="1"/>
  <c r="H22" i="7" s="1"/>
  <c r="J14" i="4"/>
  <c r="J16" i="4" s="1"/>
  <c r="D20" i="9"/>
  <c r="D10" i="9" s="1"/>
  <c r="K14" i="4"/>
  <c r="K16" i="4" s="1"/>
  <c r="L20" i="3"/>
  <c r="L21" i="3" s="1"/>
  <c r="E20" i="9" l="1"/>
  <c r="E10" i="9" s="1"/>
  <c r="F20" i="9"/>
  <c r="F10" i="9" s="1"/>
  <c r="H12" i="7"/>
  <c r="C40" i="1"/>
  <c r="L14" i="4"/>
  <c r="L16" i="4" s="1"/>
  <c r="M20" i="3"/>
  <c r="M21" i="3" s="1"/>
  <c r="M14" i="4" l="1"/>
  <c r="M16" i="4" s="1"/>
  <c r="G20" i="9"/>
  <c r="G10" i="9" s="1"/>
  <c r="H20" i="9" l="1"/>
  <c r="H10" i="9" s="1"/>
  <c r="D60" i="6" l="1"/>
  <c r="E60" i="6" s="1"/>
  <c r="E63" i="6" s="1"/>
  <c r="F60" i="6" l="1"/>
  <c r="F63" i="6" l="1"/>
  <c r="G60" i="6" s="1"/>
  <c r="G63" i="6" s="1"/>
  <c r="H63" i="6" s="1"/>
  <c r="H7" i="4" l="1"/>
  <c r="I60" i="6"/>
  <c r="I63" i="6" s="1"/>
  <c r="J60" i="6" l="1"/>
  <c r="J63" i="6" s="1"/>
  <c r="I7" i="4"/>
  <c r="H10" i="4"/>
  <c r="H17" i="4" s="1"/>
  <c r="H40" i="4" l="1"/>
  <c r="C19" i="9" s="1"/>
  <c r="C9" i="9" s="1"/>
  <c r="H39" i="4"/>
  <c r="I10" i="4"/>
  <c r="I17" i="4" s="1"/>
  <c r="K60" i="6"/>
  <c r="K63" i="6" s="1"/>
  <c r="J7" i="4"/>
  <c r="J10" i="4" l="1"/>
  <c r="J17" i="4" s="1"/>
  <c r="I40" i="4"/>
  <c r="D19" i="9" s="1"/>
  <c r="D9" i="9" s="1"/>
  <c r="I39" i="4"/>
  <c r="L60" i="6"/>
  <c r="L63" i="6" s="1"/>
  <c r="K7" i="4"/>
  <c r="K10" i="4" l="1"/>
  <c r="K17" i="4" s="1"/>
  <c r="L7" i="4"/>
  <c r="M60" i="6"/>
  <c r="J40" i="4"/>
  <c r="E19" i="9" s="1"/>
  <c r="E9" i="9" s="1"/>
  <c r="J39" i="4"/>
  <c r="M63" i="6" l="1"/>
  <c r="M7" i="4" s="1"/>
  <c r="M10" i="4" s="1"/>
  <c r="M17" i="4" s="1"/>
  <c r="L10" i="4"/>
  <c r="L17" i="4" s="1"/>
  <c r="K40" i="4"/>
  <c r="F19" i="9" s="1"/>
  <c r="F9" i="9" s="1"/>
  <c r="K39" i="4"/>
  <c r="M39" i="4" l="1"/>
  <c r="M40" i="4"/>
  <c r="H19" i="9" s="1"/>
  <c r="H9" i="9" s="1"/>
  <c r="C5" i="9" s="1"/>
  <c r="L39" i="4"/>
  <c r="L40" i="4"/>
  <c r="G19" i="9" s="1"/>
  <c r="G9" i="9"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2"/>
        </ext>
      </extLst>
    </bk>
  </futureMetadata>
  <cellMetadata count="1">
    <bk>
      <rc t="1" v="0"/>
    </bk>
  </cellMetadata>
  <valueMetadata count="1">
    <bk>
      <rc t="2" v="0"/>
    </bk>
  </valueMetadata>
</metadata>
</file>

<file path=xl/sharedStrings.xml><?xml version="1.0" encoding="utf-8"?>
<sst xmlns="http://schemas.openxmlformats.org/spreadsheetml/2006/main" count="245" uniqueCount="213">
  <si>
    <t>HISTORICALS</t>
  </si>
  <si>
    <t>FORECASTS</t>
  </si>
  <si>
    <t>ASSUMPTIONS &amp; KEY DRIVERS</t>
  </si>
  <si>
    <t>INCOME STATEMENT</t>
  </si>
  <si>
    <t>BALANCE SHEET</t>
  </si>
  <si>
    <t>CASH FLOW STATEMENT</t>
  </si>
  <si>
    <t>DISCOUNTED CASH FLOW VALUATION</t>
  </si>
  <si>
    <t>₹ million</t>
  </si>
  <si>
    <t>PARTICULARS</t>
  </si>
  <si>
    <t>Revenue from operations</t>
  </si>
  <si>
    <t>Cost of materials consumed</t>
  </si>
  <si>
    <t>Purchases of Stock-in-trade</t>
  </si>
  <si>
    <t>Changes in inventories of finished goods, stock-in-trade and work-in-progress</t>
  </si>
  <si>
    <t>Employee benefits expense</t>
  </si>
  <si>
    <t>Depreciation and amortisation expense</t>
  </si>
  <si>
    <t>Other expenses</t>
  </si>
  <si>
    <t>MAT (credit)/reversal</t>
  </si>
  <si>
    <t>Tax adjustment in respect of ealier years</t>
  </si>
  <si>
    <t>ASSETS</t>
  </si>
  <si>
    <t>Deferred tax charge /(credit)</t>
  </si>
  <si>
    <t>Inventories</t>
  </si>
  <si>
    <t>Total Assets</t>
  </si>
  <si>
    <t>EQUITY AND LIABILITIES</t>
  </si>
  <si>
    <t>Equity</t>
  </si>
  <si>
    <t>Total Equity</t>
  </si>
  <si>
    <t>Total Non-Current Liabilities</t>
  </si>
  <si>
    <t>Current liabilities</t>
  </si>
  <si>
    <t>Total Current liabilities</t>
  </si>
  <si>
    <t>Total Liabilities</t>
  </si>
  <si>
    <t>Total Equity and Liabilities</t>
  </si>
  <si>
    <t>Balance Sheet Check</t>
  </si>
  <si>
    <t>Error Margin (If any)</t>
  </si>
  <si>
    <t>PREPARED BY: AKASHDEEP MUKHERJEE</t>
  </si>
  <si>
    <t>TABLE OF CONTENTS</t>
  </si>
  <si>
    <t>VALUATION SUMMARY</t>
  </si>
  <si>
    <t>CURRENT MARKET PRICE</t>
  </si>
  <si>
    <t>IMPLIED SHARE PRICE (DCF)</t>
  </si>
  <si>
    <t>PARAG MILK FOODS</t>
  </si>
  <si>
    <t>REVENUE ASSUMPTIONS</t>
  </si>
  <si>
    <t>Revenue from Operations</t>
  </si>
  <si>
    <t>YoY Growth Rate (%)</t>
  </si>
  <si>
    <t>COST ASSUMPTIONS</t>
  </si>
  <si>
    <t>Cost of Raw Materials</t>
  </si>
  <si>
    <t>Cost of Raw Materials (Cost of Materials Consumed + Purchase of Stock in Trade + Changes in Inventories)</t>
  </si>
  <si>
    <t>Raw Material Cost (%) (Cost of Raw Materials/Revenue)</t>
  </si>
  <si>
    <t>Employee Benefits Expenses</t>
  </si>
  <si>
    <t>Employee Cost (%) (Employee Benefits Expenses/Revenue)</t>
  </si>
  <si>
    <t>Other Expenses</t>
  </si>
  <si>
    <t>Other Expenses (%) (Other Expenses/Revenue)</t>
  </si>
  <si>
    <t>DEPRECIATION ASSUMPTIONS</t>
  </si>
  <si>
    <t>Depreciation &amp; Amortization Expenses</t>
  </si>
  <si>
    <t>D&amp;A as % of Revenue</t>
  </si>
  <si>
    <t>INTEREST ASSUMPTIONS</t>
  </si>
  <si>
    <t>Finance Cost</t>
  </si>
  <si>
    <t>Average Total Debt</t>
  </si>
  <si>
    <t>Implied Rate</t>
  </si>
  <si>
    <t>TAX ASSUMPTIONS</t>
  </si>
  <si>
    <t>Total Tax Expense</t>
  </si>
  <si>
    <t>Effective Tax Rate (%) (Total Tax Expense/PBT)</t>
  </si>
  <si>
    <t>WORKING CAPITAL ASSUMPTIONS</t>
  </si>
  <si>
    <t>Recievable Days</t>
  </si>
  <si>
    <t>Trade Recievables</t>
  </si>
  <si>
    <t>Inventory Days</t>
  </si>
  <si>
    <t>Trade Payables</t>
  </si>
  <si>
    <t>Payable Days</t>
  </si>
  <si>
    <t>CAPEX ASSUMPTIONS</t>
  </si>
  <si>
    <t>Total Debt</t>
  </si>
  <si>
    <t>PBT</t>
  </si>
  <si>
    <t>Gross Profit</t>
  </si>
  <si>
    <t>EBITDA</t>
  </si>
  <si>
    <t>EBIT</t>
  </si>
  <si>
    <t>EBT (Earnings Before Tax)</t>
  </si>
  <si>
    <t>Net Income</t>
  </si>
  <si>
    <t>CAPEX (Property, plant and equipment)</t>
  </si>
  <si>
    <t>Total Non-Current Assets</t>
  </si>
  <si>
    <t>Total Current Assets</t>
  </si>
  <si>
    <t>Other Current Liabilities</t>
  </si>
  <si>
    <t>Other Non-Current Liabilities</t>
  </si>
  <si>
    <t>Borrowings</t>
  </si>
  <si>
    <t>Borrowings (Non-Current)</t>
  </si>
  <si>
    <t>Borrowings (Current)</t>
  </si>
  <si>
    <t>Current Tax</t>
  </si>
  <si>
    <t>Other Liabilities (Provisions &amp; Tax)</t>
  </si>
  <si>
    <t>(+) Depreciation &amp; Amortization</t>
  </si>
  <si>
    <t>Changes in Working Capital:</t>
  </si>
  <si>
    <t>(Increase) / Decrease in Trade Receivables</t>
  </si>
  <si>
    <t>(Increase) / Decrease in Inventories</t>
  </si>
  <si>
    <t>Increase / (Decrease) in Trade Payables</t>
  </si>
  <si>
    <t>Net Cash from Operations</t>
  </si>
  <si>
    <t>Net Cash from Investing</t>
  </si>
  <si>
    <t>Net Borrowings</t>
  </si>
  <si>
    <t>Net Cash from Financing</t>
  </si>
  <si>
    <t>Beginning Cash Balance</t>
  </si>
  <si>
    <t>Ending Cash Balance</t>
  </si>
  <si>
    <t>Net Change in Cash (A+B+C)</t>
  </si>
  <si>
    <t>Cash and Cash Equivalents</t>
  </si>
  <si>
    <t>Trade Receivables</t>
  </si>
  <si>
    <t>Current Assets</t>
  </si>
  <si>
    <t>Other Non-Current Assets</t>
  </si>
  <si>
    <t>Other Intangible Assets</t>
  </si>
  <si>
    <t>Property, Plant and Equipment</t>
  </si>
  <si>
    <t>Non-Current Assets</t>
  </si>
  <si>
    <t>Other Current Assets</t>
  </si>
  <si>
    <t>Equity Share Capital</t>
  </si>
  <si>
    <t>Other Equity</t>
  </si>
  <si>
    <t>Non-Current Liabilities</t>
  </si>
  <si>
    <t>EBIT (Operating Profit)</t>
  </si>
  <si>
    <t>Less: Taxes on EBIT</t>
  </si>
  <si>
    <t>NOPAT (Net Operating Profit After Tax)</t>
  </si>
  <si>
    <t>(-) Capital Expenditures (CAPEX)</t>
  </si>
  <si>
    <t>(+/-) Changes in Working Capital</t>
  </si>
  <si>
    <t>Unlevered Free Cash Flow (UFCF)</t>
  </si>
  <si>
    <t>Risk Free Rate</t>
  </si>
  <si>
    <t>Equity Risk Premium</t>
  </si>
  <si>
    <t>Beta</t>
  </si>
  <si>
    <t>Cost of Equity (Ke)</t>
  </si>
  <si>
    <t>Pre-Tax Cost of Debt</t>
  </si>
  <si>
    <t>Tax Rate</t>
  </si>
  <si>
    <t>After-Tax Cost of Debt (Kd)</t>
  </si>
  <si>
    <t>Weight of Equity</t>
  </si>
  <si>
    <t>Weight of Debt</t>
  </si>
  <si>
    <t>WACC</t>
  </si>
  <si>
    <t>Discount Factor</t>
  </si>
  <si>
    <t>Present Value (PV) of UFCF</t>
  </si>
  <si>
    <t>Sum of PV of UCFC</t>
  </si>
  <si>
    <t>Terminal Growth Rate</t>
  </si>
  <si>
    <t>Terminal Value (TV)</t>
  </si>
  <si>
    <t>PV of Terminal Value (TV)</t>
  </si>
  <si>
    <t>Enterprise Value (EV)</t>
  </si>
  <si>
    <t>Less: Total Debt</t>
  </si>
  <si>
    <t>Add: Cash and Cash Equivalents</t>
  </si>
  <si>
    <t>Implied Equity Value</t>
  </si>
  <si>
    <t>Outstanding Shares</t>
  </si>
  <si>
    <t>Implied Share Price</t>
  </si>
  <si>
    <t>COMPARABLE COMPANY ANALYSIS</t>
  </si>
  <si>
    <t>Share Price</t>
  </si>
  <si>
    <t>Shares Outstanding</t>
  </si>
  <si>
    <t>Market Capitalization</t>
  </si>
  <si>
    <t>Net Debt (Total Debt minus Cash)</t>
  </si>
  <si>
    <t>LTM Revenue (Last Twelve Months)</t>
  </si>
  <si>
    <t>P / E Multiple (Price to Earnings)</t>
  </si>
  <si>
    <t>EPS</t>
  </si>
  <si>
    <t>Target EV/EBITDA Multiple</t>
  </si>
  <si>
    <t>Parag Projected EBITDA</t>
  </si>
  <si>
    <t>Implied Enterprise Value</t>
  </si>
  <si>
    <t>Less: Parag Total Debt</t>
  </si>
  <si>
    <t>Add: Parag Cash</t>
  </si>
  <si>
    <t>Implied Share Price (Comps)</t>
  </si>
  <si>
    <t>Cash Flow Check</t>
  </si>
  <si>
    <t>Net Income Check</t>
  </si>
  <si>
    <t>Balance Sheet Balanced</t>
  </si>
  <si>
    <t>Cash Flow Matched Balance Sheet</t>
  </si>
  <si>
    <t>Net Income Matches Cash Flow Statement</t>
  </si>
  <si>
    <t>MASTER MODEL STATUS</t>
  </si>
  <si>
    <t>CHECKS</t>
  </si>
  <si>
    <t>Current Market Price</t>
  </si>
  <si>
    <t>Upside / (Downside) vs CMP</t>
  </si>
  <si>
    <t>1. CHECKS</t>
  </si>
  <si>
    <t>2. ASSUMPTIONS &amp; DRIVERS</t>
  </si>
  <si>
    <t>3. INCOME STATEMENT</t>
  </si>
  <si>
    <t>4. BALANCE SHEET</t>
  </si>
  <si>
    <t>5. CASH FLOW STATEMENT</t>
  </si>
  <si>
    <t>7. COMPARABLE COMPANY ANALYSIS</t>
  </si>
  <si>
    <t>IMPLIED SHARE PRICE (COMPS)</t>
  </si>
  <si>
    <t>MODEL COMPLETION</t>
  </si>
  <si>
    <t>IS THE MODEL COMPLETE ?</t>
  </si>
  <si>
    <t>HAS THE MODEL BEEN TESTED</t>
  </si>
  <si>
    <t>YES</t>
  </si>
  <si>
    <t>LIABILITIES</t>
  </si>
  <si>
    <t>(C) CASH FLOW FROM FINANCING (CFF)</t>
  </si>
  <si>
    <t>(B) CASH FLOW FROM INVESTING (CFI)</t>
  </si>
  <si>
    <t>(A) CASH FLOW FROM OPERATIONS (CFO)</t>
  </si>
  <si>
    <t>LAST UPDATED:</t>
  </si>
  <si>
    <t>DATE PREPARED:</t>
  </si>
  <si>
    <t>IMPLIED UPSIDE/ (DOWNSIDE) (AS PER IMPLIED SHARE PRICE (COMPS))</t>
  </si>
  <si>
    <t>IMPLIED UPSIDE/ (DOWNSIDE) (AS PER IMPLIED SHARE PRICE (DCF))</t>
  </si>
  <si>
    <r>
      <t xml:space="preserve">Outstanding Shares </t>
    </r>
    <r>
      <rPr>
        <i/>
        <sz val="10"/>
        <color theme="1"/>
        <rFont val="Arial"/>
        <family val="2"/>
      </rPr>
      <t>(in millions)</t>
    </r>
  </si>
  <si>
    <t>3-STATEMENT FINANCIAL MODEL &amp; DCF VALUATION</t>
  </si>
  <si>
    <t>6. DCF VALUATION &amp; SENSITIVITY ANALYSIS</t>
  </si>
  <si>
    <t>SENSITIVITY TABLE</t>
  </si>
  <si>
    <t>CAPEX as % of Revenue (Gross Spend Assumption)</t>
  </si>
  <si>
    <t>Capital Expenditures (Net PPE Movement)</t>
  </si>
  <si>
    <t>Hatsun Agro</t>
  </si>
  <si>
    <t>Heritage Foods</t>
  </si>
  <si>
    <t>Average</t>
  </si>
  <si>
    <t>Median</t>
  </si>
  <si>
    <t>EV/EBITDA LTM</t>
  </si>
  <si>
    <t>Dodla Dairy Ltd.</t>
  </si>
  <si>
    <t>EV/REVENUE</t>
  </si>
  <si>
    <t>COMPANY NAME</t>
  </si>
  <si>
    <t>MARKET DATA</t>
  </si>
  <si>
    <t>CAPITAL STRUCTURE</t>
  </si>
  <si>
    <t>ENTERPRICE VALUE BRIDGE</t>
  </si>
  <si>
    <t>OPERATING DATA LTM</t>
  </si>
  <si>
    <t>TRADING MULTIPLES</t>
  </si>
  <si>
    <t>EQUITY MULTIPLES</t>
  </si>
  <si>
    <t>Discount Period</t>
  </si>
  <si>
    <t>Implied Exit EV/EBITDA</t>
  </si>
  <si>
    <t>EXIT MULTIPLE METHOD VALUATION</t>
  </si>
  <si>
    <t>Assumed Exit EV/EBITDA Multiple</t>
  </si>
  <si>
    <t>FY31 EBITDA</t>
  </si>
  <si>
    <t>Terminal Value (Exit Multiple)</t>
  </si>
  <si>
    <t>PV of Terminal Value (Exit Multiple)</t>
  </si>
  <si>
    <t>Enterprise Value (EMM)</t>
  </si>
  <si>
    <t>Implied Equity Value (EMM)</t>
  </si>
  <si>
    <t>Implied Share Price (EMM)</t>
  </si>
  <si>
    <t>IMPLIED SHARE PRICE (EMM)</t>
  </si>
  <si>
    <t>IMPLIED UPSIDE/ (DOWNSIDE) (AS PER IMPLIED SHARE PRICE (EMM))</t>
  </si>
  <si>
    <t>BALANCE SHEET CHECK</t>
  </si>
  <si>
    <t>Opening Net PPE</t>
  </si>
  <si>
    <t>Add: Capex</t>
  </si>
  <si>
    <t>Less: Depreciation</t>
  </si>
  <si>
    <t>Closing Net PPE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</si>
</sst>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0"/>
    <numFmt numFmtId="166" formatCode="0.0"/>
    <numFmt numFmtId="167" formatCode="&quot;₹&quot;\ #,##0.00"/>
    <numFmt numFmtId="168" formatCode="&quot;₹&quot;\ #,##0.0"/>
    <numFmt numFmtId="169" formatCode="#,##0.0"/>
  </numFmts>
  <fonts count="26" x14ac:knownFonts="1">
    <font>
      <sz val="11"/>
      <color theme="1"/>
      <name val="Calibri"/>
      <family val="2"/>
    </font>
    <font>
      <sz val="11"/>
      <color theme="1"/>
      <name val="Calibri"/>
      <family val="2"/>
    </font>
    <font>
      <b/>
      <sz val="18"/>
      <color theme="1"/>
      <name val="Arial"/>
      <family val="2"/>
    </font>
    <font>
      <sz val="11"/>
      <color theme="1"/>
      <name val="Arial"/>
      <family val="2"/>
    </font>
    <font>
      <i/>
      <sz val="11"/>
      <color theme="1"/>
      <name val="Arial"/>
      <family val="2"/>
    </font>
    <font>
      <b/>
      <sz val="11"/>
      <color theme="1"/>
      <name val="Arial"/>
      <family val="2"/>
    </font>
    <font>
      <sz val="13.5"/>
      <color theme="1"/>
      <name val="Arial"/>
      <family val="2"/>
    </font>
    <font>
      <b/>
      <sz val="18"/>
      <color theme="0"/>
      <name val="Arial"/>
      <family val="2"/>
    </font>
    <font>
      <i/>
      <sz val="11"/>
      <color theme="0"/>
      <name val="Arial"/>
      <family val="2"/>
    </font>
    <font>
      <b/>
      <sz val="11"/>
      <color theme="0"/>
      <name val="Arial"/>
      <family val="2"/>
    </font>
    <font>
      <u/>
      <sz val="11"/>
      <color theme="10"/>
      <name val="Calibri"/>
      <family val="2"/>
    </font>
    <font>
      <u/>
      <sz val="11"/>
      <name val="Arial"/>
      <family val="2"/>
    </font>
    <font>
      <sz val="10"/>
      <color theme="1"/>
      <name val="Arial"/>
      <family val="2"/>
    </font>
    <font>
      <b/>
      <sz val="10"/>
      <color theme="1"/>
      <name val="Arial"/>
      <family val="2"/>
    </font>
    <font>
      <i/>
      <sz val="10"/>
      <color theme="1"/>
      <name val="Arial"/>
      <family val="2"/>
    </font>
    <font>
      <b/>
      <sz val="10"/>
      <color theme="0"/>
      <name val="Arial"/>
      <family val="2"/>
    </font>
    <font>
      <i/>
      <sz val="9"/>
      <color theme="1"/>
      <name val="Arial"/>
      <family val="2"/>
    </font>
    <font>
      <sz val="11"/>
      <color rgb="FFFF0000"/>
      <name val="Calibri"/>
      <family val="2"/>
    </font>
    <font>
      <i/>
      <sz val="9"/>
      <color theme="1"/>
      <name val="Calibri"/>
      <family val="2"/>
    </font>
    <font>
      <b/>
      <sz val="11"/>
      <color theme="2"/>
      <name val="Arial"/>
      <family val="2"/>
    </font>
    <font>
      <b/>
      <sz val="11"/>
      <color theme="1"/>
      <name val="Calibri"/>
      <family val="2"/>
    </font>
    <font>
      <sz val="9"/>
      <color theme="1"/>
      <name val="Arial"/>
      <family val="2"/>
    </font>
    <font>
      <sz val="10"/>
      <color rgb="FF0000FF"/>
      <name val="Arial"/>
      <family val="2"/>
    </font>
    <font>
      <b/>
      <sz val="10"/>
      <color rgb="FF0000FF"/>
      <name val="Arial"/>
      <family val="2"/>
    </font>
    <font>
      <sz val="10"/>
      <color rgb="FF008000"/>
      <name val="Arial"/>
      <family val="2"/>
    </font>
    <font>
      <b/>
      <sz val="10"/>
      <color rgb="FF008000"/>
      <name val="Arial"/>
      <family val="2"/>
    </font>
  </fonts>
  <fills count="9">
    <fill>
      <patternFill patternType="none"/>
    </fill>
    <fill>
      <patternFill patternType="gray125"/>
    </fill>
    <fill>
      <patternFill patternType="solid">
        <fgColor theme="3" tint="9.9978637043366805E-2"/>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theme="3" tint="0.749992370372631"/>
        <bgColor indexed="64"/>
      </patternFill>
    </fill>
    <fill>
      <patternFill patternType="solid">
        <fgColor rgb="FF002060"/>
        <bgColor indexed="64"/>
      </patternFill>
    </fill>
    <fill>
      <patternFill patternType="solid">
        <fgColor theme="3" tint="0.89999084444715716"/>
        <bgColor indexed="64"/>
      </patternFill>
    </fill>
    <fill>
      <patternFill patternType="solid">
        <fgColor theme="0"/>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0" fontId="10" fillId="0" borderId="0" applyNumberFormat="0" applyFill="0" applyBorder="0" applyAlignment="0" applyProtection="0"/>
  </cellStyleXfs>
  <cellXfs count="119">
    <xf numFmtId="0" fontId="0" fillId="0" borderId="0" xfId="0"/>
    <xf numFmtId="0" fontId="0" fillId="0" borderId="0" xfId="0"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indent="1"/>
    </xf>
    <xf numFmtId="0" fontId="0" fillId="8" borderId="0" xfId="0" applyFill="1" applyAlignment="1">
      <alignment horizontal="left" vertical="center" wrapText="1"/>
    </xf>
    <xf numFmtId="0" fontId="0" fillId="8" borderId="0" xfId="0" applyFill="1"/>
    <xf numFmtId="0" fontId="3" fillId="0" borderId="0" xfId="0" applyFont="1" applyAlignment="1">
      <alignment horizontal="left" vertical="center" wrapText="1"/>
    </xf>
    <xf numFmtId="164" fontId="3" fillId="0" borderId="0" xfId="1" applyNumberFormat="1" applyFont="1" applyBorder="1" applyAlignment="1">
      <alignment horizontal="center" vertical="center" wrapText="1"/>
    </xf>
    <xf numFmtId="0" fontId="3" fillId="0" borderId="0" xfId="0" applyFont="1" applyAlignment="1">
      <alignment horizontal="center" vertical="center" wrapText="1"/>
    </xf>
    <xf numFmtId="0" fontId="11" fillId="8" borderId="0" xfId="2" applyFont="1" applyFill="1" applyBorder="1" applyAlignment="1">
      <alignment horizontal="left" vertical="center" wrapText="1"/>
    </xf>
    <xf numFmtId="0" fontId="9" fillId="3" borderId="0" xfId="0" applyFont="1" applyFill="1" applyAlignment="1">
      <alignment horizontal="center" vertical="center" wrapText="1"/>
    </xf>
    <xf numFmtId="0" fontId="2" fillId="0" borderId="0" xfId="0" applyFont="1" applyAlignment="1">
      <alignment horizontal="center" vertical="center" wrapText="1"/>
    </xf>
    <xf numFmtId="0" fontId="9" fillId="3" borderId="0" xfId="0" applyFont="1" applyFill="1" applyAlignment="1">
      <alignment horizontal="left" vertical="center" wrapText="1"/>
    </xf>
    <xf numFmtId="0" fontId="2"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5" fillId="5" borderId="0" xfId="0" applyFont="1" applyFill="1" applyAlignment="1">
      <alignment horizontal="center" vertical="center" wrapText="1"/>
    </xf>
    <xf numFmtId="0" fontId="3" fillId="0" borderId="0" xfId="0" applyFont="1" applyAlignment="1">
      <alignment vertical="center"/>
    </xf>
    <xf numFmtId="0" fontId="9" fillId="3" borderId="0" xfId="0" applyFont="1" applyFill="1" applyAlignment="1">
      <alignment vertical="center"/>
    </xf>
    <xf numFmtId="0" fontId="9" fillId="3" borderId="0" xfId="0" applyFont="1" applyFill="1" applyAlignment="1">
      <alignment horizontal="center" vertical="center"/>
    </xf>
    <xf numFmtId="0" fontId="3" fillId="8" borderId="0" xfId="0" applyFont="1" applyFill="1" applyAlignment="1">
      <alignment vertical="center"/>
    </xf>
    <xf numFmtId="166" fontId="3" fillId="0" borderId="0" xfId="0" applyNumberFormat="1" applyFont="1" applyAlignment="1">
      <alignment horizontal="center" vertical="center" wrapText="1"/>
    </xf>
    <xf numFmtId="4" fontId="3" fillId="0" borderId="0" xfId="0" applyNumberFormat="1" applyFont="1" applyAlignment="1">
      <alignment horizontal="center" vertical="center" wrapText="1"/>
    </xf>
    <xf numFmtId="0" fontId="3" fillId="0" borderId="0" xfId="0" applyFont="1"/>
    <xf numFmtId="0" fontId="3" fillId="8" borderId="0" xfId="0" applyFont="1" applyFill="1"/>
    <xf numFmtId="0" fontId="5" fillId="8" borderId="0" xfId="0" applyFont="1" applyFill="1"/>
    <xf numFmtId="0" fontId="5" fillId="0" borderId="0" xfId="0" applyFont="1"/>
    <xf numFmtId="4" fontId="3" fillId="0" borderId="0" xfId="0" applyNumberFormat="1" applyFont="1"/>
    <xf numFmtId="0" fontId="5" fillId="0" borderId="0" xfId="0" applyFont="1" applyAlignment="1">
      <alignment horizontal="left" vertical="center" wrapText="1"/>
    </xf>
    <xf numFmtId="166" fontId="5" fillId="0" borderId="0" xfId="0" applyNumberFormat="1" applyFont="1" applyAlignment="1">
      <alignment horizontal="center" vertical="center" wrapText="1"/>
    </xf>
    <xf numFmtId="0" fontId="6" fillId="0" borderId="0" xfId="0" applyFont="1" applyAlignment="1">
      <alignment horizontal="center" vertical="center" wrapText="1"/>
    </xf>
    <xf numFmtId="4" fontId="5" fillId="0" borderId="0" xfId="0" applyNumberFormat="1" applyFont="1" applyAlignment="1">
      <alignment horizontal="center" vertical="center" wrapText="1"/>
    </xf>
    <xf numFmtId="0" fontId="3" fillId="8" borderId="0" xfId="0" applyFont="1" applyFill="1" applyAlignment="1">
      <alignment wrapText="1"/>
    </xf>
    <xf numFmtId="0" fontId="3" fillId="0" borderId="0" xfId="0" applyFont="1" applyAlignment="1">
      <alignment wrapText="1"/>
    </xf>
    <xf numFmtId="0" fontId="9" fillId="3" borderId="0" xfId="0" applyFont="1" applyFill="1" applyAlignment="1">
      <alignment horizontal="left" wrapText="1"/>
    </xf>
    <xf numFmtId="166" fontId="3" fillId="0" borderId="0" xfId="0" applyNumberFormat="1" applyFont="1" applyAlignment="1">
      <alignment wrapText="1"/>
    </xf>
    <xf numFmtId="0" fontId="12" fillId="8" borderId="0" xfId="0" applyFont="1" applyFill="1" applyAlignment="1">
      <alignment horizontal="center" vertical="center" wrapText="1"/>
    </xf>
    <xf numFmtId="0" fontId="12" fillId="8" borderId="0" xfId="0" applyFont="1" applyFill="1" applyAlignment="1">
      <alignment horizontal="left" vertical="center" wrapText="1"/>
    </xf>
    <xf numFmtId="166" fontId="12" fillId="8" borderId="0" xfId="0" applyNumberFormat="1" applyFont="1" applyFill="1" applyAlignment="1">
      <alignment horizontal="center" vertical="center" wrapText="1"/>
    </xf>
    <xf numFmtId="0" fontId="13" fillId="8" borderId="0" xfId="0" applyFont="1" applyFill="1" applyAlignment="1">
      <alignment horizontal="left" vertical="center" wrapText="1"/>
    </xf>
    <xf numFmtId="0" fontId="13" fillId="8" borderId="0" xfId="0" applyFont="1" applyFill="1" applyAlignment="1">
      <alignment horizontal="center" vertical="center" wrapText="1"/>
    </xf>
    <xf numFmtId="165" fontId="12" fillId="8" borderId="0" xfId="0" applyNumberFormat="1" applyFont="1" applyFill="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wrapText="1"/>
    </xf>
    <xf numFmtId="164" fontId="12" fillId="8" borderId="0" xfId="1" applyNumberFormat="1" applyFont="1" applyFill="1" applyBorder="1" applyAlignment="1">
      <alignment horizontal="center" vertical="center" wrapText="1"/>
    </xf>
    <xf numFmtId="0" fontId="12" fillId="8" borderId="0" xfId="0" applyFont="1" applyFill="1" applyAlignment="1">
      <alignment wrapText="1"/>
    </xf>
    <xf numFmtId="10" fontId="12" fillId="8" borderId="0" xfId="0" applyNumberFormat="1" applyFont="1" applyFill="1" applyAlignment="1">
      <alignment horizontal="center" vertical="center" wrapText="1"/>
    </xf>
    <xf numFmtId="164" fontId="12" fillId="8" borderId="0" xfId="0" applyNumberFormat="1" applyFont="1" applyFill="1" applyAlignment="1">
      <alignment horizontal="center" vertical="center" wrapText="1"/>
    </xf>
    <xf numFmtId="0" fontId="14" fillId="0" borderId="0" xfId="0" applyFont="1" applyAlignment="1">
      <alignment horizontal="left" vertical="center" wrapText="1"/>
    </xf>
    <xf numFmtId="2" fontId="15" fillId="3" borderId="0" xfId="1" applyNumberFormat="1" applyFont="1" applyFill="1" applyBorder="1" applyAlignment="1">
      <alignment horizontal="center" vertical="center" wrapText="1"/>
    </xf>
    <xf numFmtId="164" fontId="15" fillId="3" borderId="0" xfId="1" applyNumberFormat="1" applyFont="1" applyFill="1" applyBorder="1" applyAlignment="1">
      <alignment horizontal="center" vertical="center" wrapText="1"/>
    </xf>
    <xf numFmtId="2" fontId="12" fillId="0" borderId="0" xfId="0" applyNumberFormat="1" applyFont="1" applyAlignment="1">
      <alignment horizontal="center" vertical="center" wrapText="1"/>
    </xf>
    <xf numFmtId="0" fontId="16" fillId="7" borderId="0" xfId="0" applyFont="1" applyFill="1" applyAlignment="1">
      <alignment horizontal="center" vertical="center" wrapText="1"/>
    </xf>
    <xf numFmtId="0" fontId="13" fillId="0" borderId="0" xfId="0" applyFont="1" applyAlignment="1">
      <alignment horizontal="left" vertical="center" wrapText="1"/>
    </xf>
    <xf numFmtId="0" fontId="12" fillId="8" borderId="0" xfId="0" applyFont="1" applyFill="1"/>
    <xf numFmtId="0" fontId="13" fillId="8" borderId="0" xfId="0" applyFont="1" applyFill="1"/>
    <xf numFmtId="0" fontId="12" fillId="8" borderId="0" xfId="0" applyFont="1" applyFill="1" applyAlignment="1">
      <alignment vertical="center"/>
    </xf>
    <xf numFmtId="0" fontId="12" fillId="0" borderId="0" xfId="0" applyFont="1" applyAlignment="1">
      <alignment vertical="center"/>
    </xf>
    <xf numFmtId="0" fontId="12" fillId="0" borderId="0" xfId="0" applyFont="1" applyAlignment="1">
      <alignment horizontal="center" vertical="center" wrapText="1"/>
    </xf>
    <xf numFmtId="166" fontId="12" fillId="0" borderId="0" xfId="0" applyNumberFormat="1" applyFont="1" applyAlignment="1">
      <alignment horizontal="center" vertical="center" wrapText="1"/>
    </xf>
    <xf numFmtId="0" fontId="18" fillId="0" borderId="0" xfId="0" applyFont="1" applyAlignment="1">
      <alignment horizontal="center" vertical="center" wrapText="1"/>
    </xf>
    <xf numFmtId="0" fontId="7" fillId="0" borderId="0" xfId="0" applyFont="1" applyAlignment="1">
      <alignment vertical="center" wrapText="1"/>
    </xf>
    <xf numFmtId="167" fontId="12" fillId="0" borderId="0" xfId="0" applyNumberFormat="1" applyFont="1" applyAlignment="1">
      <alignment horizontal="center" vertical="center" wrapText="1"/>
    </xf>
    <xf numFmtId="0" fontId="12" fillId="0" borderId="0" xfId="0" applyFont="1"/>
    <xf numFmtId="0" fontId="13" fillId="0" borderId="0" xfId="0" applyFont="1" applyAlignment="1">
      <alignment horizontal="center" wrapText="1"/>
    </xf>
    <xf numFmtId="2" fontId="13" fillId="0" borderId="0" xfId="0" applyNumberFormat="1" applyFont="1" applyAlignment="1">
      <alignment horizontal="center" wrapText="1"/>
    </xf>
    <xf numFmtId="167" fontId="13" fillId="0" borderId="0" xfId="0" applyNumberFormat="1" applyFont="1" applyAlignment="1">
      <alignment horizontal="center" vertical="center" wrapText="1"/>
    </xf>
    <xf numFmtId="168" fontId="12" fillId="8" borderId="0" xfId="0" applyNumberFormat="1" applyFont="1" applyFill="1" applyAlignment="1">
      <alignment horizontal="center" vertical="center" wrapText="1"/>
    </xf>
    <xf numFmtId="168" fontId="12" fillId="0" borderId="0" xfId="0" applyNumberFormat="1" applyFont="1" applyAlignment="1">
      <alignment horizontal="center" vertical="center" wrapText="1"/>
    </xf>
    <xf numFmtId="168" fontId="13" fillId="8" borderId="0" xfId="0" applyNumberFormat="1" applyFont="1" applyFill="1" applyAlignment="1">
      <alignment horizontal="center" vertical="center" wrapText="1"/>
    </xf>
    <xf numFmtId="168" fontId="13" fillId="0" borderId="0" xfId="0" applyNumberFormat="1" applyFont="1" applyAlignment="1">
      <alignment horizontal="center" vertical="center" wrapText="1"/>
    </xf>
    <xf numFmtId="168" fontId="17" fillId="0" borderId="0" xfId="0" applyNumberFormat="1" applyFont="1" applyAlignment="1">
      <alignment horizontal="center" vertical="center" wrapText="1"/>
    </xf>
    <xf numFmtId="169" fontId="12" fillId="8" borderId="0" xfId="0" applyNumberFormat="1" applyFont="1" applyFill="1" applyAlignment="1">
      <alignment horizontal="center" vertical="center" wrapText="1"/>
    </xf>
    <xf numFmtId="0" fontId="20" fillId="0" borderId="0" xfId="0" applyFont="1"/>
    <xf numFmtId="0" fontId="21" fillId="8" borderId="0" xfId="0" applyFont="1" applyFill="1" applyAlignment="1">
      <alignment wrapText="1"/>
    </xf>
    <xf numFmtId="0" fontId="3" fillId="8" borderId="0" xfId="0" applyFont="1" applyFill="1" applyAlignment="1">
      <alignment horizontal="left" vertical="center" wrapText="1"/>
    </xf>
    <xf numFmtId="168" fontId="3" fillId="8" borderId="0" xfId="0" applyNumberFormat="1" applyFont="1" applyFill="1" applyAlignment="1">
      <alignment horizontal="center" vertical="center" wrapText="1"/>
    </xf>
    <xf numFmtId="168" fontId="3" fillId="8" borderId="0" xfId="1" applyNumberFormat="1" applyFont="1" applyFill="1" applyBorder="1" applyAlignment="1">
      <alignment horizontal="center" vertical="center" wrapText="1"/>
    </xf>
    <xf numFmtId="164" fontId="3" fillId="8" borderId="0" xfId="1" applyNumberFormat="1" applyFont="1" applyFill="1" applyBorder="1" applyAlignment="1">
      <alignment horizontal="center" vertical="center" wrapText="1"/>
    </xf>
    <xf numFmtId="167" fontId="3" fillId="0" borderId="0" xfId="0" applyNumberFormat="1" applyFont="1" applyAlignment="1">
      <alignment horizontal="center" vertical="center" wrapText="1"/>
    </xf>
    <xf numFmtId="164" fontId="3" fillId="0" borderId="0" xfId="1" applyNumberFormat="1" applyFont="1" applyAlignment="1">
      <alignment horizontal="center" vertical="center" wrapText="1"/>
    </xf>
    <xf numFmtId="167" fontId="22" fillId="0" borderId="0" xfId="0" applyNumberFormat="1" applyFont="1" applyAlignment="1">
      <alignment horizontal="center" vertical="center" wrapText="1"/>
    </xf>
    <xf numFmtId="0" fontId="22" fillId="0" borderId="0" xfId="0" applyFont="1" applyAlignment="1">
      <alignment horizontal="center" vertical="center" wrapText="1"/>
    </xf>
    <xf numFmtId="2" fontId="22" fillId="0" borderId="0" xfId="0" applyNumberFormat="1" applyFont="1" applyAlignment="1">
      <alignment horizontal="center" vertical="center" wrapText="1"/>
    </xf>
    <xf numFmtId="168" fontId="22" fillId="8" borderId="0" xfId="0" applyNumberFormat="1" applyFont="1" applyFill="1" applyAlignment="1">
      <alignment horizontal="center" vertical="center" wrapText="1"/>
    </xf>
    <xf numFmtId="168" fontId="22" fillId="0" borderId="0" xfId="0" applyNumberFormat="1" applyFont="1" applyAlignment="1">
      <alignment horizontal="center" vertical="center" wrapText="1"/>
    </xf>
    <xf numFmtId="169" fontId="23" fillId="8" borderId="0" xfId="0" applyNumberFormat="1" applyFont="1" applyFill="1" applyAlignment="1">
      <alignment horizontal="center" vertical="center" wrapText="1"/>
    </xf>
    <xf numFmtId="164" fontId="22" fillId="8" borderId="0" xfId="1" applyNumberFormat="1" applyFont="1" applyFill="1" applyBorder="1" applyAlignment="1">
      <alignment horizontal="center" vertical="center" wrapText="1"/>
    </xf>
    <xf numFmtId="2" fontId="22" fillId="8" borderId="0" xfId="0" applyNumberFormat="1" applyFont="1" applyFill="1" applyAlignment="1">
      <alignment horizontal="center" vertical="center" wrapText="1"/>
    </xf>
    <xf numFmtId="164" fontId="22" fillId="8" borderId="0" xfId="0" applyNumberFormat="1" applyFont="1" applyFill="1" applyAlignment="1">
      <alignment horizontal="center" vertical="center" wrapText="1"/>
    </xf>
    <xf numFmtId="0" fontId="22" fillId="8" borderId="0" xfId="0" applyFont="1" applyFill="1" applyAlignment="1">
      <alignment horizontal="center" vertical="center" wrapText="1"/>
    </xf>
    <xf numFmtId="168" fontId="24" fillId="8" borderId="0" xfId="0" applyNumberFormat="1" applyFont="1" applyFill="1" applyAlignment="1">
      <alignment horizontal="center" vertical="center" wrapText="1"/>
    </xf>
    <xf numFmtId="168" fontId="25" fillId="8" borderId="0" xfId="0" applyNumberFormat="1" applyFont="1" applyFill="1" applyAlignment="1">
      <alignment horizontal="center" vertical="center" wrapText="1"/>
    </xf>
    <xf numFmtId="164" fontId="24" fillId="8" borderId="0" xfId="1" applyNumberFormat="1" applyFont="1" applyFill="1" applyBorder="1" applyAlignment="1">
      <alignment horizontal="center" vertical="center" wrapText="1"/>
    </xf>
    <xf numFmtId="167" fontId="24" fillId="0" borderId="0" xfId="0" applyNumberFormat="1" applyFont="1" applyAlignment="1">
      <alignment horizontal="center" vertical="center" wrapText="1"/>
    </xf>
    <xf numFmtId="0" fontId="9" fillId="2" borderId="0" xfId="0" applyFont="1" applyFill="1" applyAlignment="1">
      <alignment horizontal="center" vertical="center" wrapText="1"/>
    </xf>
    <xf numFmtId="0" fontId="7" fillId="2" borderId="0" xfId="0" applyFont="1" applyFill="1" applyAlignment="1">
      <alignment horizontal="center" vertical="center" wrapText="1"/>
    </xf>
    <xf numFmtId="0" fontId="7" fillId="6" borderId="0" xfId="0" applyFont="1" applyFill="1" applyAlignment="1">
      <alignment horizontal="center" vertical="center" wrapText="1"/>
    </xf>
    <xf numFmtId="0" fontId="12" fillId="0" borderId="0" xfId="0" applyFont="1" applyAlignment="1">
      <alignment horizontal="left" vertical="center" wrapText="1"/>
    </xf>
    <xf numFmtId="0" fontId="9" fillId="3" borderId="0" xfId="0" applyFont="1" applyFill="1" applyAlignment="1">
      <alignment horizontal="center" vertical="center" wrapText="1"/>
    </xf>
    <xf numFmtId="0" fontId="3" fillId="0" borderId="0" xfId="0" applyFont="1" applyAlignment="1">
      <alignment horizontal="left" vertical="center" wrapText="1"/>
    </xf>
    <xf numFmtId="167" fontId="3" fillId="0" borderId="0" xfId="0" applyNumberFormat="1" applyFont="1" applyAlignment="1">
      <alignment horizontal="center" vertical="center" wrapText="1"/>
    </xf>
    <xf numFmtId="0" fontId="3" fillId="8" borderId="0" xfId="0" applyFont="1" applyFill="1" applyAlignment="1">
      <alignment horizontal="left" vertical="center" wrapText="1"/>
    </xf>
    <xf numFmtId="164" fontId="3" fillId="0" borderId="0" xfId="1" applyNumberFormat="1" applyFont="1" applyAlignment="1">
      <alignment horizontal="center" vertical="center" wrapText="1"/>
    </xf>
    <xf numFmtId="0" fontId="8" fillId="3" borderId="0" xfId="0" applyFont="1" applyFill="1" applyAlignment="1">
      <alignment horizontal="center" vertical="center" wrapText="1"/>
    </xf>
    <xf numFmtId="0" fontId="5" fillId="7" borderId="0" xfId="0" applyFont="1" applyFill="1" applyAlignment="1">
      <alignment horizontal="center" vertical="center" wrapText="1"/>
    </xf>
    <xf numFmtId="14" fontId="5" fillId="5" borderId="0" xfId="0" applyNumberFormat="1" applyFont="1" applyFill="1" applyAlignment="1">
      <alignment horizontal="center" vertical="center" wrapText="1"/>
    </xf>
    <xf numFmtId="0" fontId="5" fillId="5" borderId="0" xfId="0" applyFont="1" applyFill="1" applyAlignment="1">
      <alignment horizontal="center" vertical="center" wrapText="1"/>
    </xf>
    <xf numFmtId="164" fontId="3" fillId="8" borderId="0" xfId="1" applyNumberFormat="1" applyFont="1" applyFill="1" applyBorder="1" applyAlignment="1">
      <alignment horizontal="center" vertical="center" wrapText="1"/>
    </xf>
    <xf numFmtId="168" fontId="3" fillId="8" borderId="0" xfId="0" applyNumberFormat="1" applyFont="1" applyFill="1" applyAlignment="1">
      <alignment horizontal="center" vertical="center" wrapText="1"/>
    </xf>
    <xf numFmtId="168" fontId="3" fillId="8" borderId="0" xfId="1" applyNumberFormat="1" applyFont="1" applyFill="1" applyBorder="1" applyAlignment="1">
      <alignment horizontal="center" vertical="center" wrapText="1"/>
    </xf>
    <xf numFmtId="0" fontId="9" fillId="3" borderId="0" xfId="0" applyFont="1" applyFill="1" applyAlignment="1">
      <alignment horizontal="left" vertical="center"/>
    </xf>
    <xf numFmtId="0" fontId="9" fillId="2" borderId="0" xfId="0" applyFont="1" applyFill="1" applyAlignment="1">
      <alignment horizontal="center" vertical="center"/>
    </xf>
    <xf numFmtId="0" fontId="9" fillId="3" borderId="0" xfId="0" applyFont="1" applyFill="1" applyAlignment="1">
      <alignment horizontal="left" vertical="center" wrapText="1"/>
    </xf>
    <xf numFmtId="0" fontId="13" fillId="4" borderId="0" xfId="0" applyFont="1" applyFill="1" applyAlignment="1">
      <alignment horizontal="left" vertical="center" wrapText="1"/>
    </xf>
    <xf numFmtId="0" fontId="18" fillId="0" borderId="0" xfId="0" applyFont="1" applyAlignment="1">
      <alignment horizontal="center" vertical="center" wrapText="1"/>
    </xf>
    <xf numFmtId="0" fontId="12" fillId="8" borderId="0" xfId="0" applyFont="1" applyFill="1" applyAlignment="1">
      <alignment horizontal="left" vertical="center" wrapText="1"/>
    </xf>
    <xf numFmtId="9" fontId="13" fillId="4" borderId="0" xfId="1" applyFont="1" applyFill="1" applyAlignment="1">
      <alignment horizontal="center" vertical="center" wrapText="1"/>
    </xf>
    <xf numFmtId="0" fontId="19" fillId="3" borderId="0" xfId="0" applyFont="1" applyFill="1" applyAlignment="1">
      <alignment horizontal="center" vertical="center" wrapText="1"/>
    </xf>
  </cellXfs>
  <cellStyles count="3">
    <cellStyle name="Hyperlink" xfId="2" builtinId="8"/>
    <cellStyle name="Normal" xfId="0" builtinId="0"/>
    <cellStyle name="Percent" xfId="1" builtinId="5"/>
  </cellStyles>
  <dxfs count="0"/>
  <tableStyles count="0" defaultTableStyle="TableStyleMedium2" defaultPivotStyle="PivotStyleLight16"/>
  <colors>
    <mruColors>
      <color rgb="FF008000"/>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06/relationships/rdRichValue" Target="richData/rdrichvalue.xml"/><Relationship Id="rId18" Type="http://schemas.microsoft.com/office/2017/06/relationships/rdRichValueTypes" Target="richData/rdRichValueTyp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dSupportingPropertyBag" Target="richData/rdsupportingpropertybag.xml"/><Relationship Id="rId2" Type="http://schemas.openxmlformats.org/officeDocument/2006/relationships/worksheet" Target="worksheets/sheet2.xml"/><Relationship Id="rId16" Type="http://schemas.microsoft.com/office/2017/06/relationships/rdSupportingPropertyBagStructure" Target="richData/rdsupportingpropertybag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ichStyles" Target="richData/richStyles.xml"/><Relationship Id="rId10" Type="http://schemas.openxmlformats.org/officeDocument/2006/relationships/styles" Target="styles.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Structure" Target="richData/rdrichvaluestructure.xm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
  <rv s="0">
    <v>https://www.bing.com/financeapi/forcetrigger?t=ahjcrw&amp;q=XNSE%3aPARAGMILK&amp;form=skydnc</v>
    <v>Learn more on Bing</v>
  </rv>
  <rv s="1">
    <v>en-IN</v>
    <v>ahjcrw</v>
    <v>268435456</v>
    <v>1</v>
    <v>Powered by Refinitiv</v>
    <v>0</v>
    <v>PARAG MILK FOODS LIMITED (XNSE:PARAGMILK)</v>
    <v>2</v>
    <v>3</v>
    <v>Finance</v>
    <v>4</v>
    <v>376.95</v>
    <v>177.84</v>
    <v>1.6793</v>
    <v>-5.5</v>
    <v>-2.4106000000000002E-2</v>
    <v>INR</v>
    <v>Parag Milk Foods Limited is an India-based dairy fast-moving consumer goods (FMCG) company. The Company is engaged in the business of procurement of cow milk mainly in the western and southern regions. It undertakes the processing of milk and the manufacture of various products, namely cheese, butter, ghee, milk powder, flavored milk, lassi, curd, and others. Its brands include Gowardhan, under which it offers ghee, milk, paneer, dahi, curd, butter, dairy whitener and gulab jamun mix; Go, under which it offers processed and natural cheeses, cheese spreads, beverages, and other dairy delights; Pride of Cows, under which ghee, paneer, and curd are sold; Topp Up, which is a flavored milk with extra proteins, and Avvatar, which is a nutrition brand, offers vegetarian whey protein. Its manufacturing facilities are located at Maharashtra, Andhra Pradesh, and Haryana. Its subsidiary is Bhagyalaxmi Dairy Farms Private Limited.</v>
    <v>1969</v>
    <v>National Stock Exchange of India</v>
    <v>XNSE</v>
    <v>XNSE</v>
    <v>Awsari Phata,, Manchar, Dist., PUNE, MAHARASHTRA, 410503 IN</v>
    <v>230.2</v>
    <v>Food &amp; Tobacco</v>
    <v>Stock</v>
    <v>46129.466064814813</v>
    <v>0</v>
    <v>220.5</v>
    <v>34201930000</v>
    <v>PARAG MILK FOODS LIMITED</v>
    <v>PARAG MILK FOODS LIMITED</v>
    <v>228.16</v>
    <v>21.31</v>
    <v>228.16</v>
    <v>222.66</v>
    <v>124998500</v>
    <v>PARAGMILK</v>
    <v>PARAG MILK FOODS LIMITED (XNSE:PARAGMILK)</v>
    <v>984748</v>
    <v>1090030</v>
    <v>1992</v>
  </rv>
  <rv s="2">
    <v>1</v>
  </rv>
</rvData>
</file>

<file path=xl/richData/rdrichvaluestructure.xml><?xml version="1.0" encoding="utf-8"?>
<rvStructures xmlns="http://schemas.microsoft.com/office/spreadsheetml/2017/richdata" count="3">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spb>
    <spb s="4">
      <v>Delayed 5 minutes</v>
      <v>from previous close</v>
      <v>from previous close</v>
      <v>GMT</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Last trade time"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dd/mm/yyyy\ h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 xml:space="preserve">_ [$₹-en-IN] * #,##0.00_ ;_ [$₹-en-IN] * -#,##0.00_ ;_ [$₹-en-IN] * "-"??_ ;_ @_ </rpv>
    </rSty>
    <rSty dxfid="5">
      <rpv i="0">#,##0.00</rpv>
    </rSty>
    <rSty>
      <rpv i="1">1</rpv>
    </rSty>
    <rSty dxfid="4">
      <rpv i="0">#,##0</rpv>
    </rSty>
    <rSty dxfid="3"/>
    <rSty dxfid="1">
      <rpv i="0" xml:space="preserve">_ [$₹-en-IN] * #,##0_ ;_ [$₹-en-IN] * -#,##0_ ;_ [$₹-en-IN] * "-"_ ;_ @_ </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5F266-CEF4-42C2-9EED-92E61BCF4F97}">
  <dimension ref="A1:M24"/>
  <sheetViews>
    <sheetView showGridLines="0" tabSelected="1" workbookViewId="0"/>
  </sheetViews>
  <sheetFormatPr defaultRowHeight="14" x14ac:dyDescent="0.35"/>
  <cols>
    <col min="1" max="1" width="1.6328125" style="8" customWidth="1"/>
    <col min="2" max="2" width="45.6328125" style="8" customWidth="1"/>
    <col min="3" max="4" width="10.6328125" style="8" customWidth="1"/>
    <col min="5" max="6" width="15.6328125" style="8" customWidth="1"/>
    <col min="7" max="9" width="10.6328125" style="8" customWidth="1"/>
    <col min="10" max="11" width="17.6328125" style="8" customWidth="1"/>
    <col min="12" max="13" width="10.6328125" style="8" customWidth="1"/>
    <col min="14" max="16384" width="8.7265625" style="8"/>
  </cols>
  <sheetData>
    <row r="1" spans="1:13" ht="25" customHeight="1" x14ac:dyDescent="0.35">
      <c r="B1" s="96" t="s">
        <v>37</v>
      </c>
      <c r="C1" s="96"/>
      <c r="D1" s="96"/>
      <c r="E1" s="96"/>
      <c r="F1" s="96"/>
      <c r="G1" s="96"/>
      <c r="H1" s="96"/>
      <c r="I1" s="96"/>
      <c r="J1" s="96"/>
      <c r="K1" s="96"/>
      <c r="L1" s="13"/>
      <c r="M1" s="13"/>
    </row>
    <row r="2" spans="1:13" ht="14.5" x14ac:dyDescent="0.35">
      <c r="B2" s="104" t="e" vm="1">
        <v>#VALUE!</v>
      </c>
      <c r="C2" s="104"/>
      <c r="D2" s="104"/>
      <c r="E2" s="104"/>
      <c r="F2" s="104"/>
      <c r="G2" s="104"/>
      <c r="H2" s="104"/>
      <c r="I2" s="104"/>
      <c r="J2" s="104"/>
      <c r="K2" s="104"/>
      <c r="L2" s="14"/>
      <c r="M2" s="14"/>
    </row>
    <row r="4" spans="1:13" ht="14.5" customHeight="1" x14ac:dyDescent="0.35">
      <c r="B4" s="99" t="s">
        <v>177</v>
      </c>
      <c r="C4" s="99"/>
      <c r="D4" s="99"/>
      <c r="E4" s="99"/>
      <c r="F4" s="99"/>
      <c r="G4" s="99"/>
      <c r="H4" s="99"/>
      <c r="I4" s="99"/>
      <c r="J4" s="99"/>
      <c r="K4" s="99"/>
      <c r="L4" s="15"/>
      <c r="M4" s="15"/>
    </row>
    <row r="6" spans="1:13" ht="14" customHeight="1" x14ac:dyDescent="0.35">
      <c r="B6" s="16" t="s">
        <v>173</v>
      </c>
      <c r="C6" s="106">
        <f>DATE(2026,4,15)</f>
        <v>46127</v>
      </c>
      <c r="D6" s="106"/>
      <c r="E6" s="106"/>
      <c r="F6" s="107" t="s">
        <v>172</v>
      </c>
      <c r="G6" s="107"/>
      <c r="H6" s="107"/>
      <c r="I6" s="106">
        <f ca="1">NOW()</f>
        <v>46131.594278935183</v>
      </c>
      <c r="J6" s="106"/>
      <c r="K6" s="106"/>
      <c r="L6" s="15"/>
      <c r="M6" s="15"/>
    </row>
    <row r="7" spans="1:13" x14ac:dyDescent="0.35">
      <c r="B7" s="105" t="s">
        <v>32</v>
      </c>
      <c r="C7" s="105"/>
      <c r="D7" s="105"/>
      <c r="E7" s="105"/>
      <c r="F7" s="105"/>
      <c r="G7" s="105"/>
      <c r="H7" s="105"/>
      <c r="I7" s="105"/>
      <c r="J7" s="105"/>
      <c r="K7" s="105"/>
      <c r="L7" s="15"/>
      <c r="M7" s="15"/>
    </row>
    <row r="9" spans="1:13" ht="15" customHeight="1" x14ac:dyDescent="0.35">
      <c r="B9" s="12" t="s">
        <v>33</v>
      </c>
      <c r="E9" s="99" t="s">
        <v>34</v>
      </c>
      <c r="F9" s="99"/>
      <c r="G9" s="99"/>
      <c r="H9" s="99"/>
      <c r="I9" s="99"/>
    </row>
    <row r="10" spans="1:13" ht="15" customHeight="1" x14ac:dyDescent="0.35">
      <c r="A10" s="58"/>
      <c r="B10" s="9" t="s">
        <v>157</v>
      </c>
      <c r="E10" s="102" t="s">
        <v>35</v>
      </c>
      <c r="F10" s="102"/>
      <c r="G10" s="102"/>
      <c r="H10" s="109" cm="1">
        <f t="array" aca="1" ref="H10" ca="1">_FV(B2,"Price")</f>
        <v>222.66</v>
      </c>
      <c r="I10" s="109"/>
    </row>
    <row r="11" spans="1:13" ht="5" customHeight="1" x14ac:dyDescent="0.35">
      <c r="A11" s="58"/>
      <c r="B11" s="9"/>
      <c r="E11" s="75"/>
      <c r="F11" s="75"/>
      <c r="G11" s="75"/>
      <c r="H11" s="76"/>
      <c r="I11" s="76"/>
    </row>
    <row r="12" spans="1:13" ht="15" customHeight="1" x14ac:dyDescent="0.35">
      <c r="B12" s="9" t="s">
        <v>158</v>
      </c>
      <c r="E12" s="102" t="s">
        <v>36</v>
      </c>
      <c r="F12" s="102"/>
      <c r="G12" s="102"/>
      <c r="H12" s="109">
        <f>DCF!C37</f>
        <v>220.95734624529101</v>
      </c>
      <c r="I12" s="109"/>
    </row>
    <row r="13" spans="1:13" ht="5" customHeight="1" x14ac:dyDescent="0.35">
      <c r="B13" s="9"/>
      <c r="E13" s="75"/>
      <c r="F13" s="75"/>
      <c r="G13" s="75"/>
      <c r="H13" s="76"/>
      <c r="I13" s="76"/>
    </row>
    <row r="14" spans="1:13" ht="15" customHeight="1" x14ac:dyDescent="0.35">
      <c r="B14" s="9" t="s">
        <v>159</v>
      </c>
      <c r="E14" s="102" t="s">
        <v>163</v>
      </c>
      <c r="F14" s="102"/>
      <c r="G14" s="102"/>
      <c r="H14" s="110">
        <f>Comps!C22</f>
        <v>407.24966155170915</v>
      </c>
      <c r="I14" s="110"/>
    </row>
    <row r="15" spans="1:13" ht="5" customHeight="1" x14ac:dyDescent="0.35">
      <c r="B15" s="9"/>
      <c r="E15" s="75"/>
      <c r="F15" s="75"/>
      <c r="G15" s="75"/>
      <c r="H15" s="77"/>
      <c r="I15" s="77"/>
    </row>
    <row r="16" spans="1:13" ht="27" customHeight="1" x14ac:dyDescent="0.35">
      <c r="B16" s="9" t="s">
        <v>160</v>
      </c>
      <c r="E16" s="102" t="s">
        <v>174</v>
      </c>
      <c r="F16" s="102"/>
      <c r="G16" s="102"/>
      <c r="H16" s="108">
        <f ca="1">(H14/H10)-1</f>
        <v>0.82902030697794471</v>
      </c>
      <c r="I16" s="108"/>
    </row>
    <row r="17" spans="2:9" ht="5" customHeight="1" x14ac:dyDescent="0.35">
      <c r="B17" s="9"/>
      <c r="E17" s="75"/>
      <c r="F17" s="75"/>
      <c r="G17" s="75"/>
      <c r="H17" s="78"/>
      <c r="I17" s="78"/>
    </row>
    <row r="18" spans="2:9" ht="27" customHeight="1" x14ac:dyDescent="0.35">
      <c r="B18" s="9" t="s">
        <v>161</v>
      </c>
      <c r="E18" s="102" t="s">
        <v>175</v>
      </c>
      <c r="F18" s="102"/>
      <c r="G18" s="102"/>
      <c r="H18" s="108">
        <f ca="1">DCF!G37</f>
        <v>-7.646877547421993E-3</v>
      </c>
      <c r="I18" s="108"/>
    </row>
    <row r="19" spans="2:9" ht="5" customHeight="1" x14ac:dyDescent="0.35">
      <c r="B19" s="9"/>
      <c r="E19" s="75"/>
      <c r="F19" s="75"/>
      <c r="G19" s="75"/>
      <c r="H19" s="78"/>
      <c r="I19" s="78"/>
    </row>
    <row r="20" spans="2:9" ht="15" customHeight="1" x14ac:dyDescent="0.35">
      <c r="B20" s="9" t="s">
        <v>178</v>
      </c>
      <c r="E20" s="100" t="s">
        <v>206</v>
      </c>
      <c r="F20" s="100"/>
      <c r="G20" s="100"/>
      <c r="H20" s="101">
        <f>DCF!H25</f>
        <v>329.74287422394497</v>
      </c>
      <c r="I20" s="101"/>
    </row>
    <row r="21" spans="2:9" ht="5" customHeight="1" x14ac:dyDescent="0.35">
      <c r="B21" s="9"/>
      <c r="E21" s="6"/>
      <c r="F21" s="6"/>
      <c r="G21" s="6"/>
      <c r="H21" s="79"/>
      <c r="I21" s="79"/>
    </row>
    <row r="22" spans="2:9" ht="27" customHeight="1" x14ac:dyDescent="0.35">
      <c r="B22" s="9" t="s">
        <v>162</v>
      </c>
      <c r="E22" s="102" t="s">
        <v>207</v>
      </c>
      <c r="F22" s="102"/>
      <c r="G22" s="102"/>
      <c r="H22" s="103">
        <f ca="1">(H20/H10)-1</f>
        <v>0.48092551075157175</v>
      </c>
      <c r="I22" s="103"/>
    </row>
    <row r="23" spans="2:9" ht="5" customHeight="1" x14ac:dyDescent="0.35">
      <c r="B23" s="9"/>
      <c r="E23" s="75"/>
      <c r="F23" s="75"/>
      <c r="G23" s="75"/>
      <c r="H23" s="80"/>
      <c r="I23" s="80"/>
    </row>
    <row r="24" spans="2:9" ht="15" customHeight="1" x14ac:dyDescent="0.35"/>
  </sheetData>
  <mergeCells count="22">
    <mergeCell ref="E14:G14"/>
    <mergeCell ref="H10:I10"/>
    <mergeCell ref="H12:I12"/>
    <mergeCell ref="H14:I14"/>
    <mergeCell ref="E16:G16"/>
    <mergeCell ref="H16:I16"/>
    <mergeCell ref="E20:G20"/>
    <mergeCell ref="H20:I20"/>
    <mergeCell ref="E22:G22"/>
    <mergeCell ref="H22:I22"/>
    <mergeCell ref="B1:K1"/>
    <mergeCell ref="B2:K2"/>
    <mergeCell ref="B4:K4"/>
    <mergeCell ref="B7:K7"/>
    <mergeCell ref="I6:K6"/>
    <mergeCell ref="F6:H6"/>
    <mergeCell ref="C6:E6"/>
    <mergeCell ref="E18:G18"/>
    <mergeCell ref="H18:I18"/>
    <mergeCell ref="E9:I9"/>
    <mergeCell ref="E10:G10"/>
    <mergeCell ref="E12:G12"/>
  </mergeCells>
  <hyperlinks>
    <hyperlink ref="B10" location="Checks!A1" display="1. CHECKS" xr:uid="{0AB52708-A140-455D-B7C9-0D8369023222}"/>
    <hyperlink ref="B12" location="Assumptions!A1" display="2. ASSUMPTIONS &amp; DRIVERS" xr:uid="{8E6B3882-2479-4D99-9A95-ACBE192E3D59}"/>
    <hyperlink ref="B14" location="'Income Statement'!A1" display="3. INCOME STATEMENT" xr:uid="{5C1B5310-03A8-431F-BFAA-04C623FAFA28}"/>
    <hyperlink ref="B16" location="'Balance Sheet'!A1" display="4. BALANCE SHEET" xr:uid="{B3451967-9EA6-48A3-8622-4484D22ED778}"/>
    <hyperlink ref="B18" location="'Cash Flow Statement'!A1" display="5. CASH FLOW STATEMENT" xr:uid="{922D9870-4DFA-4CB2-8AD3-E945E61E8F56}"/>
    <hyperlink ref="B20" location="DCF!A1" display="6. DCF VALUATION &amp; SENSETIVITY ANALYSIS" xr:uid="{5FC0D197-1E80-4BFF-B8B0-D00DA993437E}"/>
    <hyperlink ref="B22" location="Comps!A1" display="7. COMPARABLE COMPANY ANALYSIS" xr:uid="{EF1FCB99-78EC-4203-BB23-3EDD2B9EF4F8}"/>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9DEE65-8D0B-451E-A08A-BE729D50AE0B}">
  <dimension ref="B1:M21"/>
  <sheetViews>
    <sheetView showGridLines="0" workbookViewId="0"/>
  </sheetViews>
  <sheetFormatPr defaultRowHeight="14" x14ac:dyDescent="0.35"/>
  <cols>
    <col min="1" max="1" width="1.6328125" style="8" customWidth="1"/>
    <col min="2" max="2" width="45.6328125" style="8" customWidth="1"/>
    <col min="3" max="9" width="11.36328125" style="8" customWidth="1"/>
    <col min="10" max="13" width="10.1796875" style="8" customWidth="1"/>
    <col min="14" max="14" width="10.6328125" style="8" customWidth="1"/>
    <col min="15" max="16384" width="8.7265625" style="8"/>
  </cols>
  <sheetData>
    <row r="1" spans="2:13" ht="25" customHeight="1" x14ac:dyDescent="0.35">
      <c r="B1" s="96" t="s">
        <v>164</v>
      </c>
      <c r="C1" s="96"/>
      <c r="D1" s="96"/>
      <c r="E1" s="96"/>
      <c r="F1" s="96"/>
      <c r="G1" s="96"/>
      <c r="H1" s="96"/>
      <c r="I1" s="96"/>
      <c r="J1" s="96"/>
      <c r="K1" s="96"/>
      <c r="L1" s="96"/>
      <c r="M1" s="96"/>
    </row>
    <row r="2" spans="2:13" ht="25" customHeight="1" x14ac:dyDescent="0.35">
      <c r="B2" s="10" t="s">
        <v>165</v>
      </c>
      <c r="C2" s="10" t="s">
        <v>167</v>
      </c>
      <c r="D2" s="11"/>
      <c r="E2" s="99" t="s">
        <v>166</v>
      </c>
      <c r="F2" s="99"/>
      <c r="G2" s="99"/>
      <c r="H2" s="99"/>
      <c r="I2" s="10" t="s">
        <v>167</v>
      </c>
      <c r="J2" s="11"/>
      <c r="K2" s="11"/>
      <c r="L2" s="11"/>
      <c r="M2" s="11"/>
    </row>
    <row r="3" spans="2:13" ht="25" customHeight="1" x14ac:dyDescent="0.35">
      <c r="B3" s="11"/>
      <c r="C3" s="11"/>
      <c r="D3" s="11"/>
      <c r="E3" s="11"/>
      <c r="F3" s="11"/>
      <c r="G3" s="11"/>
      <c r="H3" s="11"/>
      <c r="I3" s="11"/>
      <c r="J3" s="11"/>
      <c r="K3" s="11"/>
      <c r="L3" s="11"/>
      <c r="M3" s="11"/>
    </row>
    <row r="4" spans="2:13" ht="25" customHeight="1" x14ac:dyDescent="0.35">
      <c r="B4" s="96" t="s">
        <v>154</v>
      </c>
      <c r="C4" s="96"/>
      <c r="D4" s="96"/>
      <c r="E4" s="96"/>
      <c r="F4" s="96"/>
      <c r="G4" s="96"/>
      <c r="H4" s="96"/>
      <c r="I4" s="96"/>
      <c r="J4" s="96"/>
      <c r="K4" s="96"/>
      <c r="L4" s="96"/>
      <c r="M4" s="96"/>
    </row>
    <row r="5" spans="2:13" ht="28" customHeight="1" x14ac:dyDescent="0.35">
      <c r="B5" s="10" t="s">
        <v>153</v>
      </c>
      <c r="C5" s="99" t="str">
        <f>IF(COUNTIF(C9:H11,"ERROR")&gt;0,"ERRORS DETECTED","MODEL OK")</f>
        <v>MODEL OK</v>
      </c>
      <c r="D5" s="99"/>
    </row>
    <row r="7" spans="2:13" x14ac:dyDescent="0.35">
      <c r="C7" s="99" t="s">
        <v>1</v>
      </c>
      <c r="D7" s="99"/>
      <c r="E7" s="99"/>
      <c r="F7" s="99"/>
      <c r="G7" s="99"/>
      <c r="H7" s="99"/>
    </row>
    <row r="8" spans="2:13" x14ac:dyDescent="0.35">
      <c r="B8" s="12" t="s">
        <v>8</v>
      </c>
      <c r="C8" s="10">
        <v>2026</v>
      </c>
      <c r="D8" s="10">
        <v>2027</v>
      </c>
      <c r="E8" s="10">
        <v>2028</v>
      </c>
      <c r="F8" s="10">
        <v>2029</v>
      </c>
      <c r="G8" s="10">
        <v>2030</v>
      </c>
      <c r="H8" s="10">
        <v>2031</v>
      </c>
    </row>
    <row r="9" spans="2:13" x14ac:dyDescent="0.35">
      <c r="B9" s="37" t="s">
        <v>150</v>
      </c>
      <c r="C9" s="36" t="str">
        <f t="shared" ref="C9:H9" si="0">IF(ROUND(C19,2)=0,"OK","ERROR")</f>
        <v>OK</v>
      </c>
      <c r="D9" s="36" t="str">
        <f t="shared" si="0"/>
        <v>OK</v>
      </c>
      <c r="E9" s="36" t="str">
        <f t="shared" si="0"/>
        <v>OK</v>
      </c>
      <c r="F9" s="36" t="str">
        <f t="shared" si="0"/>
        <v>OK</v>
      </c>
      <c r="G9" s="36" t="str">
        <f t="shared" si="0"/>
        <v>OK</v>
      </c>
      <c r="H9" s="36" t="str">
        <f t="shared" si="0"/>
        <v>OK</v>
      </c>
    </row>
    <row r="10" spans="2:13" x14ac:dyDescent="0.35">
      <c r="B10" s="37" t="s">
        <v>151</v>
      </c>
      <c r="C10" s="36" t="str">
        <f t="shared" ref="C10:H10" si="1">IF(ROUND(C20,2)=0,"OK","ERROR")</f>
        <v>OK</v>
      </c>
      <c r="D10" s="36" t="str">
        <f t="shared" si="1"/>
        <v>OK</v>
      </c>
      <c r="E10" s="36" t="str">
        <f t="shared" si="1"/>
        <v>OK</v>
      </c>
      <c r="F10" s="36" t="str">
        <f t="shared" si="1"/>
        <v>OK</v>
      </c>
      <c r="G10" s="36" t="str">
        <f t="shared" si="1"/>
        <v>OK</v>
      </c>
      <c r="H10" s="36" t="str">
        <f t="shared" si="1"/>
        <v>OK</v>
      </c>
    </row>
    <row r="11" spans="2:13" x14ac:dyDescent="0.35">
      <c r="B11" s="37" t="s">
        <v>152</v>
      </c>
      <c r="C11" s="36" t="str">
        <f t="shared" ref="C11:H11" si="2">IF(ROUND(C21,2)=0,"OK","ERROR")</f>
        <v>OK</v>
      </c>
      <c r="D11" s="36" t="str">
        <f t="shared" si="2"/>
        <v>OK</v>
      </c>
      <c r="E11" s="36" t="str">
        <f t="shared" si="2"/>
        <v>OK</v>
      </c>
      <c r="F11" s="36" t="str">
        <f t="shared" si="2"/>
        <v>OK</v>
      </c>
      <c r="G11" s="36" t="str">
        <f t="shared" si="2"/>
        <v>OK</v>
      </c>
      <c r="H11" s="36" t="str">
        <f t="shared" si="2"/>
        <v>OK</v>
      </c>
    </row>
    <row r="19" spans="2:8" hidden="1" x14ac:dyDescent="0.35">
      <c r="B19" s="8" t="s">
        <v>30</v>
      </c>
      <c r="C19" s="8">
        <f>'Balance Sheet'!H40</f>
        <v>0</v>
      </c>
      <c r="D19" s="8">
        <f>'Balance Sheet'!I40</f>
        <v>0</v>
      </c>
      <c r="E19" s="8">
        <f>'Balance Sheet'!J40</f>
        <v>0</v>
      </c>
      <c r="F19" s="8">
        <f>'Balance Sheet'!K40</f>
        <v>0</v>
      </c>
      <c r="G19" s="8">
        <f>'Balance Sheet'!L40</f>
        <v>0</v>
      </c>
      <c r="H19" s="8">
        <f>'Balance Sheet'!M40</f>
        <v>0</v>
      </c>
    </row>
    <row r="20" spans="2:8" hidden="1" x14ac:dyDescent="0.35">
      <c r="B20" s="8" t="s">
        <v>148</v>
      </c>
      <c r="C20" s="8">
        <f>'Cash Flow Statement'!H21-'Balance Sheet'!H14</f>
        <v>0</v>
      </c>
      <c r="D20" s="8">
        <f>'Cash Flow Statement'!I21-'Balance Sheet'!I14</f>
        <v>0</v>
      </c>
      <c r="E20" s="8">
        <f>'Cash Flow Statement'!J21-'Balance Sheet'!J14</f>
        <v>0</v>
      </c>
      <c r="F20" s="8">
        <f>'Cash Flow Statement'!K21-'Balance Sheet'!K14</f>
        <v>0</v>
      </c>
      <c r="G20" s="8">
        <f>'Cash Flow Statement'!L21-'Balance Sheet'!L14</f>
        <v>0</v>
      </c>
      <c r="H20" s="8">
        <f>'Cash Flow Statement'!M21-'Balance Sheet'!M14</f>
        <v>0</v>
      </c>
    </row>
    <row r="21" spans="2:8" hidden="1" x14ac:dyDescent="0.35">
      <c r="B21" s="8" t="s">
        <v>149</v>
      </c>
      <c r="C21" s="8">
        <f>'Income Statement'!H17-'Cash Flow Statement'!H6</f>
        <v>0</v>
      </c>
      <c r="D21" s="8">
        <f>'Income Statement'!I17-'Cash Flow Statement'!I6</f>
        <v>0</v>
      </c>
      <c r="E21" s="8">
        <f>'Income Statement'!J17-'Cash Flow Statement'!J6</f>
        <v>0</v>
      </c>
      <c r="F21" s="8">
        <f>'Income Statement'!K17-'Cash Flow Statement'!K6</f>
        <v>0</v>
      </c>
      <c r="G21" s="8">
        <f>'Income Statement'!L17-'Cash Flow Statement'!L6</f>
        <v>0</v>
      </c>
      <c r="H21" s="8">
        <f>'Income Statement'!M17-'Cash Flow Statement'!M6</f>
        <v>0</v>
      </c>
    </row>
  </sheetData>
  <mergeCells count="5">
    <mergeCell ref="C7:H7"/>
    <mergeCell ref="B1:M1"/>
    <mergeCell ref="B4:M4"/>
    <mergeCell ref="E2:H2"/>
    <mergeCell ref="C5:D5"/>
  </mergeCells>
  <dataValidations count="1">
    <dataValidation type="list" allowBlank="1" showInputMessage="1" showErrorMessage="1" sqref="C2 I2" xr:uid="{4D89BB0D-E7A3-40A1-AE10-7CFE4F9C2387}">
      <formula1>"YES,NO"</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F78D22-1599-4027-A3C3-437E98BF35CD}">
  <dimension ref="A1:M70"/>
  <sheetViews>
    <sheetView showGridLines="0" workbookViewId="0"/>
  </sheetViews>
  <sheetFormatPr defaultRowHeight="14" x14ac:dyDescent="0.35"/>
  <cols>
    <col min="1" max="1" width="1.6328125" style="17" customWidth="1"/>
    <col min="2" max="2" width="40.6328125" style="17" customWidth="1"/>
    <col min="3" max="13" width="11.36328125" style="8" customWidth="1"/>
    <col min="14" max="16384" width="8.7265625" style="17"/>
  </cols>
  <sheetData>
    <row r="1" spans="1:13" ht="25" customHeight="1" x14ac:dyDescent="0.35">
      <c r="B1" s="96" t="s">
        <v>2</v>
      </c>
      <c r="C1" s="96"/>
      <c r="D1" s="96"/>
      <c r="E1" s="96"/>
      <c r="F1" s="96"/>
      <c r="G1" s="96"/>
      <c r="H1" s="96"/>
      <c r="I1" s="96"/>
      <c r="J1" s="96"/>
      <c r="K1" s="96"/>
      <c r="L1" s="96"/>
      <c r="M1" s="96"/>
    </row>
    <row r="2" spans="1:13" x14ac:dyDescent="0.35">
      <c r="C2" s="17"/>
      <c r="D2" s="17"/>
      <c r="E2" s="17"/>
      <c r="F2" s="17"/>
      <c r="G2" s="17"/>
      <c r="H2" s="17"/>
      <c r="I2" s="17"/>
      <c r="J2" s="17"/>
      <c r="K2" s="17"/>
      <c r="L2" s="17"/>
    </row>
    <row r="3" spans="1:13" x14ac:dyDescent="0.35">
      <c r="C3" s="17"/>
      <c r="D3" s="17"/>
      <c r="E3" s="17"/>
      <c r="F3" s="17"/>
      <c r="G3" s="17"/>
      <c r="H3" s="17"/>
      <c r="I3" s="17"/>
      <c r="J3" s="17"/>
      <c r="K3" s="17"/>
      <c r="L3" s="17"/>
      <c r="M3" s="52" t="s">
        <v>7</v>
      </c>
    </row>
    <row r="4" spans="1:13" x14ac:dyDescent="0.35">
      <c r="C4" s="112" t="s">
        <v>0</v>
      </c>
      <c r="D4" s="112"/>
      <c r="E4" s="112"/>
      <c r="F4" s="112"/>
      <c r="G4" s="112"/>
      <c r="H4" s="112" t="s">
        <v>1</v>
      </c>
      <c r="I4" s="112"/>
      <c r="J4" s="112"/>
      <c r="K4" s="112"/>
      <c r="L4" s="112"/>
      <c r="M4" s="112"/>
    </row>
    <row r="5" spans="1:13" x14ac:dyDescent="0.35">
      <c r="B5" s="18" t="s">
        <v>8</v>
      </c>
      <c r="C5" s="19">
        <v>2021</v>
      </c>
      <c r="D5" s="19">
        <v>2022</v>
      </c>
      <c r="E5" s="19">
        <v>2023</v>
      </c>
      <c r="F5" s="19">
        <v>2024</v>
      </c>
      <c r="G5" s="19">
        <v>2025</v>
      </c>
      <c r="H5" s="19">
        <v>2026</v>
      </c>
      <c r="I5" s="19">
        <v>2027</v>
      </c>
      <c r="J5" s="19">
        <v>2028</v>
      </c>
      <c r="K5" s="19">
        <v>2029</v>
      </c>
      <c r="L5" s="19">
        <v>2030</v>
      </c>
      <c r="M5" s="19">
        <v>2031</v>
      </c>
    </row>
    <row r="6" spans="1:13" x14ac:dyDescent="0.35">
      <c r="B6" s="111" t="s">
        <v>38</v>
      </c>
      <c r="C6" s="111"/>
      <c r="D6" s="111"/>
      <c r="E6" s="111"/>
      <c r="F6" s="111"/>
      <c r="G6" s="111"/>
      <c r="H6" s="111"/>
      <c r="I6" s="111"/>
      <c r="J6" s="111"/>
      <c r="K6" s="111"/>
      <c r="L6" s="111"/>
      <c r="M6" s="111"/>
    </row>
    <row r="7" spans="1:13" x14ac:dyDescent="0.35">
      <c r="A7" s="20"/>
      <c r="B7" s="56" t="s">
        <v>39</v>
      </c>
      <c r="C7" s="84">
        <v>18417.63</v>
      </c>
      <c r="D7" s="84">
        <v>20717.54</v>
      </c>
      <c r="E7" s="84">
        <v>28926.2</v>
      </c>
      <c r="F7" s="84">
        <f>3138.7*10</f>
        <v>31387</v>
      </c>
      <c r="G7" s="84">
        <f>3432.21*10</f>
        <v>34322.1</v>
      </c>
      <c r="H7" s="91">
        <f>'Income Statement'!H6</f>
        <v>37754.310000000005</v>
      </c>
      <c r="I7" s="91">
        <f>'Income Statement'!I6</f>
        <v>41529.741000000009</v>
      </c>
      <c r="J7" s="91">
        <f>'Income Statement'!J6</f>
        <v>45267.417690000017</v>
      </c>
      <c r="K7" s="91">
        <f>'Income Statement'!K6</f>
        <v>49341.485282100024</v>
      </c>
      <c r="L7" s="91">
        <f>'Income Statement'!L6</f>
        <v>53288.80410466803</v>
      </c>
      <c r="M7" s="91">
        <f>'Income Statement'!M6</f>
        <v>57551.908433041477</v>
      </c>
    </row>
    <row r="8" spans="1:13" x14ac:dyDescent="0.35">
      <c r="B8" s="56" t="s">
        <v>40</v>
      </c>
      <c r="C8" s="36"/>
      <c r="D8" s="44">
        <f>(D7-C7)/C7</f>
        <v>0.12487545900313991</v>
      </c>
      <c r="E8" s="44">
        <f t="shared" ref="E8:G8" si="0">(E7-D7)/D7</f>
        <v>0.39621789073413155</v>
      </c>
      <c r="F8" s="44">
        <f t="shared" si="0"/>
        <v>8.5071665134030708E-2</v>
      </c>
      <c r="G8" s="44">
        <f t="shared" si="0"/>
        <v>9.3513237964762436E-2</v>
      </c>
      <c r="H8" s="87">
        <v>0.1</v>
      </c>
      <c r="I8" s="87">
        <v>0.1</v>
      </c>
      <c r="J8" s="87">
        <v>0.09</v>
      </c>
      <c r="K8" s="87">
        <v>0.09</v>
      </c>
      <c r="L8" s="87">
        <v>0.08</v>
      </c>
      <c r="M8" s="87">
        <v>0.08</v>
      </c>
    </row>
    <row r="9" spans="1:13" x14ac:dyDescent="0.35">
      <c r="D9" s="7"/>
      <c r="E9" s="7"/>
      <c r="F9" s="7"/>
      <c r="G9" s="7"/>
      <c r="H9" s="7"/>
      <c r="I9" s="7"/>
      <c r="J9" s="7"/>
      <c r="K9" s="7"/>
      <c r="L9" s="7"/>
      <c r="M9" s="7"/>
    </row>
    <row r="10" spans="1:13" x14ac:dyDescent="0.35">
      <c r="B10" s="111" t="s">
        <v>41</v>
      </c>
      <c r="C10" s="111"/>
      <c r="D10" s="111"/>
      <c r="E10" s="111"/>
      <c r="F10" s="111"/>
      <c r="G10" s="111"/>
      <c r="H10" s="111"/>
      <c r="I10" s="111"/>
      <c r="J10" s="111"/>
      <c r="K10" s="111"/>
      <c r="L10" s="111"/>
      <c r="M10" s="111"/>
    </row>
    <row r="11" spans="1:13" x14ac:dyDescent="0.35">
      <c r="B11" s="37" t="s">
        <v>10</v>
      </c>
      <c r="C11" s="84">
        <v>13235.23</v>
      </c>
      <c r="D11" s="84">
        <v>18498.75</v>
      </c>
      <c r="E11" s="84">
        <v>23952.35</v>
      </c>
      <c r="F11" s="84">
        <v>24252.3</v>
      </c>
      <c r="G11" s="84">
        <v>24894.699999999997</v>
      </c>
      <c r="H11" s="38"/>
      <c r="I11" s="38"/>
      <c r="J11" s="38"/>
      <c r="K11" s="38"/>
      <c r="L11" s="38"/>
      <c r="M11" s="38"/>
    </row>
    <row r="12" spans="1:13" x14ac:dyDescent="0.35">
      <c r="B12" s="37" t="s">
        <v>11</v>
      </c>
      <c r="C12" s="84">
        <v>975.31</v>
      </c>
      <c r="D12" s="84">
        <v>82.4</v>
      </c>
      <c r="E12" s="84">
        <v>0</v>
      </c>
      <c r="F12" s="84">
        <v>0</v>
      </c>
      <c r="G12" s="84">
        <v>0</v>
      </c>
      <c r="H12" s="38"/>
      <c r="I12" s="38"/>
      <c r="J12" s="38"/>
      <c r="K12" s="38"/>
      <c r="L12" s="38"/>
      <c r="M12" s="38"/>
    </row>
    <row r="13" spans="1:13" s="20" customFormat="1" ht="25" x14ac:dyDescent="0.35">
      <c r="B13" s="37" t="s">
        <v>12</v>
      </c>
      <c r="C13" s="84">
        <v>-591.42999999999995</v>
      </c>
      <c r="D13" s="84">
        <v>2223.9499999999998</v>
      </c>
      <c r="E13" s="84">
        <v>-720.49</v>
      </c>
      <c r="F13" s="84">
        <v>-550.1</v>
      </c>
      <c r="G13" s="84">
        <v>572.70000000000005</v>
      </c>
      <c r="H13" s="38"/>
      <c r="I13" s="38"/>
      <c r="J13" s="38"/>
      <c r="K13" s="38"/>
      <c r="L13" s="38"/>
      <c r="M13" s="38"/>
    </row>
    <row r="14" spans="1:13" s="20" customFormat="1" x14ac:dyDescent="0.35">
      <c r="B14" s="56" t="s">
        <v>43</v>
      </c>
      <c r="C14" s="67">
        <f>SUM(C11:C13)</f>
        <v>13619.109999999999</v>
      </c>
      <c r="D14" s="67">
        <f t="shared" ref="D14:G14" si="1">SUM(D11:D13)</f>
        <v>20805.100000000002</v>
      </c>
      <c r="E14" s="67">
        <f t="shared" si="1"/>
        <v>23231.859999999997</v>
      </c>
      <c r="F14" s="67">
        <f t="shared" si="1"/>
        <v>23702.2</v>
      </c>
      <c r="G14" s="67">
        <f t="shared" si="1"/>
        <v>25467.399999999998</v>
      </c>
      <c r="H14" s="91">
        <f>'Income Statement'!H7</f>
        <v>28315.732500000006</v>
      </c>
      <c r="I14" s="91">
        <f>'Income Statement'!I7</f>
        <v>30732.008340000008</v>
      </c>
      <c r="J14" s="91">
        <f>'Income Statement'!J7</f>
        <v>33497.889090600009</v>
      </c>
      <c r="K14" s="91">
        <f>'Income Statement'!K7</f>
        <v>36019.284255933017</v>
      </c>
      <c r="L14" s="91">
        <f>'Income Statement'!L7</f>
        <v>38900.826996407661</v>
      </c>
      <c r="M14" s="91">
        <f>'Income Statement'!M7</f>
        <v>41437.374071789862</v>
      </c>
    </row>
    <row r="15" spans="1:13" s="20" customFormat="1" x14ac:dyDescent="0.35">
      <c r="B15" s="56" t="s">
        <v>44</v>
      </c>
      <c r="C15" s="44">
        <f>C14/C7</f>
        <v>0.73946050604773783</v>
      </c>
      <c r="D15" s="44">
        <f>D14/D7</f>
        <v>1.0042263705053787</v>
      </c>
      <c r="E15" s="44">
        <f>E14/E7</f>
        <v>0.80314247982797593</v>
      </c>
      <c r="F15" s="44">
        <f>F14/F7</f>
        <v>0.75515977952655555</v>
      </c>
      <c r="G15" s="44">
        <f>G14/G7</f>
        <v>0.74201170674288575</v>
      </c>
      <c r="H15" s="89">
        <v>0.75</v>
      </c>
      <c r="I15" s="89">
        <v>0.74</v>
      </c>
      <c r="J15" s="89">
        <v>0.74</v>
      </c>
      <c r="K15" s="89">
        <v>0.73</v>
      </c>
      <c r="L15" s="89">
        <v>0.73</v>
      </c>
      <c r="M15" s="89">
        <v>0.72</v>
      </c>
    </row>
    <row r="16" spans="1:13" s="20" customFormat="1" x14ac:dyDescent="0.35">
      <c r="B16" s="56"/>
      <c r="C16" s="36"/>
      <c r="D16" s="36"/>
      <c r="E16" s="36"/>
      <c r="F16" s="36"/>
      <c r="G16" s="36"/>
      <c r="H16" s="36"/>
      <c r="I16" s="36"/>
      <c r="J16" s="36"/>
      <c r="K16" s="36"/>
      <c r="L16" s="36"/>
      <c r="M16" s="36"/>
    </row>
    <row r="17" spans="2:13" s="20" customFormat="1" x14ac:dyDescent="0.35">
      <c r="B17" s="56" t="s">
        <v>45</v>
      </c>
      <c r="C17" s="84">
        <v>781.97</v>
      </c>
      <c r="D17" s="84">
        <v>836.63</v>
      </c>
      <c r="E17" s="84">
        <v>980.56</v>
      </c>
      <c r="F17" s="84">
        <v>1221.3</v>
      </c>
      <c r="G17" s="84">
        <v>1499.5</v>
      </c>
      <c r="H17" s="91">
        <f>'Income Statement'!H9</f>
        <v>1510.1724000000002</v>
      </c>
      <c r="I17" s="91">
        <f>'Income Statement'!I9</f>
        <v>1661.1896400000005</v>
      </c>
      <c r="J17" s="91">
        <f>'Income Statement'!J9</f>
        <v>1810.6967076000008</v>
      </c>
      <c r="K17" s="91">
        <f>'Income Statement'!K9</f>
        <v>1973.659411284001</v>
      </c>
      <c r="L17" s="91">
        <f>'Income Statement'!L9</f>
        <v>2131.5521641867213</v>
      </c>
      <c r="M17" s="91">
        <f>'Income Statement'!M9</f>
        <v>2302.0763373216591</v>
      </c>
    </row>
    <row r="18" spans="2:13" s="20" customFormat="1" x14ac:dyDescent="0.35">
      <c r="B18" s="56" t="s">
        <v>46</v>
      </c>
      <c r="C18" s="44">
        <f>C17/C7</f>
        <v>4.245768863854904E-2</v>
      </c>
      <c r="D18" s="44">
        <f>D17/D7</f>
        <v>4.0382690222873947E-2</v>
      </c>
      <c r="E18" s="44">
        <f>E17/E7</f>
        <v>3.3898680089330779E-2</v>
      </c>
      <c r="F18" s="44">
        <f>F17/F7</f>
        <v>3.8911014114123683E-2</v>
      </c>
      <c r="G18" s="44">
        <f>G17/G7</f>
        <v>4.3689051660591866E-2</v>
      </c>
      <c r="H18" s="87">
        <v>0.04</v>
      </c>
      <c r="I18" s="87">
        <v>0.04</v>
      </c>
      <c r="J18" s="87">
        <v>0.04</v>
      </c>
      <c r="K18" s="87">
        <v>0.04</v>
      </c>
      <c r="L18" s="87">
        <v>0.04</v>
      </c>
      <c r="M18" s="87">
        <v>0.04</v>
      </c>
    </row>
    <row r="19" spans="2:13" s="20" customFormat="1" x14ac:dyDescent="0.35">
      <c r="B19" s="56"/>
      <c r="C19" s="36"/>
      <c r="D19" s="36"/>
      <c r="E19" s="36"/>
      <c r="F19" s="36"/>
      <c r="G19" s="36"/>
      <c r="H19" s="36"/>
      <c r="I19" s="36"/>
      <c r="J19" s="36"/>
      <c r="K19" s="36"/>
      <c r="L19" s="36"/>
      <c r="M19" s="36"/>
    </row>
    <row r="20" spans="2:13" s="20" customFormat="1" x14ac:dyDescent="0.35">
      <c r="B20" s="56" t="s">
        <v>47</v>
      </c>
      <c r="C20" s="84">
        <v>2800.37</v>
      </c>
      <c r="D20" s="84">
        <v>3459.72</v>
      </c>
      <c r="E20" s="84">
        <v>3530.42</v>
      </c>
      <c r="F20" s="84">
        <v>4458.5</v>
      </c>
      <c r="G20" s="84">
        <v>4828.3999999999996</v>
      </c>
      <c r="H20" s="91">
        <f>'Income Statement'!H10</f>
        <v>5285.6034000000009</v>
      </c>
      <c r="I20" s="91">
        <f>'Income Statement'!I10</f>
        <v>5814.1637400000018</v>
      </c>
      <c r="J20" s="91">
        <f>'Income Statement'!J10</f>
        <v>6337.438476600003</v>
      </c>
      <c r="K20" s="91">
        <f>'Income Statement'!K10</f>
        <v>6907.8079394940041</v>
      </c>
      <c r="L20" s="91">
        <f>'Income Statement'!L10</f>
        <v>7460.4325746535251</v>
      </c>
      <c r="M20" s="91">
        <f>'Income Statement'!M10</f>
        <v>8057.2671806258077</v>
      </c>
    </row>
    <row r="21" spans="2:13" s="20" customFormat="1" x14ac:dyDescent="0.35">
      <c r="B21" s="56" t="s">
        <v>48</v>
      </c>
      <c r="C21" s="44">
        <f>C20/C7</f>
        <v>0.15204833629516934</v>
      </c>
      <c r="D21" s="44">
        <f>D20/D7</f>
        <v>0.16699473006930357</v>
      </c>
      <c r="E21" s="44">
        <f>E20/E7</f>
        <v>0.12204921489860403</v>
      </c>
      <c r="F21" s="44">
        <f>F20/F7</f>
        <v>0.14204925606142671</v>
      </c>
      <c r="G21" s="44">
        <f>G20/G7</f>
        <v>0.14067903770456935</v>
      </c>
      <c r="H21" s="87">
        <v>0.14000000000000001</v>
      </c>
      <c r="I21" s="87">
        <v>0.14000000000000001</v>
      </c>
      <c r="J21" s="87">
        <v>0.14000000000000001</v>
      </c>
      <c r="K21" s="87">
        <v>0.14000000000000001</v>
      </c>
      <c r="L21" s="87">
        <v>0.14000000000000001</v>
      </c>
      <c r="M21" s="87">
        <v>0.14000000000000001</v>
      </c>
    </row>
    <row r="22" spans="2:13" s="20" customFormat="1" x14ac:dyDescent="0.35">
      <c r="B22" s="17"/>
      <c r="C22" s="8"/>
      <c r="D22" s="8"/>
      <c r="E22" s="8"/>
      <c r="F22" s="8"/>
      <c r="G22" s="8"/>
      <c r="H22" s="8"/>
      <c r="I22" s="8"/>
      <c r="J22" s="8"/>
      <c r="K22" s="8"/>
      <c r="L22" s="8"/>
      <c r="M22" s="8"/>
    </row>
    <row r="23" spans="2:13" s="20" customFormat="1" x14ac:dyDescent="0.35">
      <c r="B23" s="113" t="s">
        <v>49</v>
      </c>
      <c r="C23" s="113"/>
      <c r="D23" s="113"/>
      <c r="E23" s="113"/>
      <c r="F23" s="113"/>
      <c r="G23" s="113"/>
      <c r="H23" s="113"/>
      <c r="I23" s="113"/>
      <c r="J23" s="113"/>
      <c r="K23" s="113"/>
      <c r="L23" s="113"/>
      <c r="M23" s="113"/>
    </row>
    <row r="24" spans="2:13" s="20" customFormat="1" x14ac:dyDescent="0.35">
      <c r="B24" s="56" t="s">
        <v>50</v>
      </c>
      <c r="C24" s="84">
        <v>486.29</v>
      </c>
      <c r="D24" s="84">
        <v>537.44000000000005</v>
      </c>
      <c r="E24" s="84">
        <v>572.75</v>
      </c>
      <c r="F24" s="84">
        <v>602.5</v>
      </c>
      <c r="G24" s="84">
        <v>672.2</v>
      </c>
      <c r="H24" s="91">
        <f>'Income Statement'!H12</f>
        <v>755.08620000000008</v>
      </c>
      <c r="I24" s="91">
        <f>'Income Statement'!I12</f>
        <v>830.59482000000025</v>
      </c>
      <c r="J24" s="91">
        <f>'Income Statement'!J12</f>
        <v>905.34835380000038</v>
      </c>
      <c r="K24" s="91">
        <f>'Income Statement'!K12</f>
        <v>986.82970564200048</v>
      </c>
      <c r="L24" s="91">
        <f>'Income Statement'!L12</f>
        <v>1065.7760820933606</v>
      </c>
      <c r="M24" s="91">
        <f>'Income Statement'!M12</f>
        <v>1151.0381686608296</v>
      </c>
    </row>
    <row r="25" spans="2:13" s="20" customFormat="1" x14ac:dyDescent="0.35">
      <c r="B25" s="56" t="s">
        <v>51</v>
      </c>
      <c r="C25" s="44">
        <f>C24/C7</f>
        <v>2.6403505771372321E-2</v>
      </c>
      <c r="D25" s="44">
        <f>D24/D7</f>
        <v>2.594130384205847E-2</v>
      </c>
      <c r="E25" s="44">
        <f>E24/E7</f>
        <v>1.9800388575063436E-2</v>
      </c>
      <c r="F25" s="44">
        <f>F24/F7</f>
        <v>1.9195845413706312E-2</v>
      </c>
      <c r="G25" s="44">
        <f>G24/G7</f>
        <v>1.9585048700400037E-2</v>
      </c>
      <c r="H25" s="87">
        <v>0.02</v>
      </c>
      <c r="I25" s="87">
        <v>0.02</v>
      </c>
      <c r="J25" s="87">
        <v>0.02</v>
      </c>
      <c r="K25" s="87">
        <v>0.02</v>
      </c>
      <c r="L25" s="87">
        <v>0.02</v>
      </c>
      <c r="M25" s="87">
        <v>0.02</v>
      </c>
    </row>
    <row r="26" spans="2:13" s="20" customFormat="1" x14ac:dyDescent="0.35">
      <c r="B26" s="17"/>
      <c r="C26" s="8"/>
      <c r="D26" s="8"/>
      <c r="E26" s="8"/>
      <c r="F26" s="8"/>
      <c r="G26" s="8"/>
      <c r="H26" s="8"/>
      <c r="I26" s="8"/>
      <c r="J26" s="8"/>
      <c r="K26" s="8"/>
      <c r="L26" s="8"/>
      <c r="M26" s="8"/>
    </row>
    <row r="27" spans="2:13" s="20" customFormat="1" x14ac:dyDescent="0.35">
      <c r="B27" s="113" t="s">
        <v>52</v>
      </c>
      <c r="C27" s="113"/>
      <c r="D27" s="113"/>
      <c r="E27" s="113"/>
      <c r="F27" s="113"/>
      <c r="G27" s="113"/>
      <c r="H27" s="113"/>
      <c r="I27" s="113"/>
      <c r="J27" s="113"/>
      <c r="K27" s="113"/>
      <c r="L27" s="113"/>
      <c r="M27" s="113"/>
    </row>
    <row r="28" spans="2:13" s="20" customFormat="1" x14ac:dyDescent="0.35">
      <c r="B28" s="56" t="s">
        <v>53</v>
      </c>
      <c r="C28" s="84">
        <v>457.74</v>
      </c>
      <c r="D28" s="84">
        <v>509.59</v>
      </c>
      <c r="E28" s="84">
        <v>551.55999999999995</v>
      </c>
      <c r="F28" s="84">
        <v>794</v>
      </c>
      <c r="G28" s="84">
        <v>931.2</v>
      </c>
      <c r="H28" s="67">
        <f>H32*H33</f>
        <v>738.58799999999997</v>
      </c>
      <c r="I28" s="67">
        <f t="shared" ref="I28:M28" si="2">I32*I33</f>
        <v>738.58799999999997</v>
      </c>
      <c r="J28" s="67">
        <f t="shared" si="2"/>
        <v>738.58799999999997</v>
      </c>
      <c r="K28" s="67">
        <f t="shared" si="2"/>
        <v>738.58799999999997</v>
      </c>
      <c r="L28" s="67">
        <f t="shared" si="2"/>
        <v>738.58799999999997</v>
      </c>
      <c r="M28" s="67">
        <f t="shared" si="2"/>
        <v>738.58799999999997</v>
      </c>
    </row>
    <row r="29" spans="2:13" s="20" customFormat="1" x14ac:dyDescent="0.35">
      <c r="B29" s="37" t="s">
        <v>79</v>
      </c>
      <c r="C29" s="84">
        <v>333.19</v>
      </c>
      <c r="D29" s="84">
        <v>2596.3000000000002</v>
      </c>
      <c r="E29" s="84">
        <v>2552.33</v>
      </c>
      <c r="F29" s="84">
        <f>244.44*10</f>
        <v>2444.4</v>
      </c>
      <c r="G29" s="84">
        <f>252.37*10</f>
        <v>2523.6999999999998</v>
      </c>
      <c r="H29" s="67">
        <f>G29</f>
        <v>2523.6999999999998</v>
      </c>
      <c r="I29" s="67">
        <f t="shared" ref="I29:M29" si="3">H29</f>
        <v>2523.6999999999998</v>
      </c>
      <c r="J29" s="67">
        <f t="shared" si="3"/>
        <v>2523.6999999999998</v>
      </c>
      <c r="K29" s="67">
        <f t="shared" si="3"/>
        <v>2523.6999999999998</v>
      </c>
      <c r="L29" s="67">
        <f t="shared" si="3"/>
        <v>2523.6999999999998</v>
      </c>
      <c r="M29" s="67">
        <f t="shared" si="3"/>
        <v>2523.6999999999998</v>
      </c>
    </row>
    <row r="30" spans="2:13" s="20" customFormat="1" x14ac:dyDescent="0.35">
      <c r="B30" s="56" t="s">
        <v>80</v>
      </c>
      <c r="C30" s="84">
        <v>3477.42</v>
      </c>
      <c r="D30" s="84">
        <v>2580.5100000000002</v>
      </c>
      <c r="E30" s="84">
        <v>3342.13</v>
      </c>
      <c r="F30" s="84">
        <f>339.17*10</f>
        <v>3391.7000000000003</v>
      </c>
      <c r="G30" s="84">
        <f>363.12*10</f>
        <v>3631.2</v>
      </c>
      <c r="H30" s="67">
        <f>G30</f>
        <v>3631.2</v>
      </c>
      <c r="I30" s="67">
        <f t="shared" ref="I30:M30" si="4">H30</f>
        <v>3631.2</v>
      </c>
      <c r="J30" s="67">
        <f t="shared" si="4"/>
        <v>3631.2</v>
      </c>
      <c r="K30" s="67">
        <f t="shared" si="4"/>
        <v>3631.2</v>
      </c>
      <c r="L30" s="67">
        <f t="shared" si="4"/>
        <v>3631.2</v>
      </c>
      <c r="M30" s="67">
        <f t="shared" si="4"/>
        <v>3631.2</v>
      </c>
    </row>
    <row r="31" spans="2:13" s="20" customFormat="1" x14ac:dyDescent="0.35">
      <c r="B31" s="56" t="s">
        <v>66</v>
      </c>
      <c r="C31" s="67">
        <f>C30+C29</f>
        <v>3810.61</v>
      </c>
      <c r="D31" s="67">
        <f t="shared" ref="D31:G31" si="5">D30+D29</f>
        <v>5176.8100000000004</v>
      </c>
      <c r="E31" s="67">
        <f t="shared" si="5"/>
        <v>5894.46</v>
      </c>
      <c r="F31" s="67">
        <f t="shared" si="5"/>
        <v>5836.1</v>
      </c>
      <c r="G31" s="67">
        <f t="shared" si="5"/>
        <v>6154.9</v>
      </c>
      <c r="H31" s="67">
        <f t="shared" ref="H31" si="6">H30+H29</f>
        <v>6154.9</v>
      </c>
      <c r="I31" s="67">
        <f t="shared" ref="I31" si="7">I30+I29</f>
        <v>6154.9</v>
      </c>
      <c r="J31" s="67">
        <f t="shared" ref="J31" si="8">J30+J29</f>
        <v>6154.9</v>
      </c>
      <c r="K31" s="67">
        <f t="shared" ref="K31" si="9">K30+K29</f>
        <v>6154.9</v>
      </c>
      <c r="L31" s="67">
        <f t="shared" ref="L31" si="10">L30+L29</f>
        <v>6154.9</v>
      </c>
      <c r="M31" s="67">
        <f t="shared" ref="M31" si="11">M30+M29</f>
        <v>6154.9</v>
      </c>
    </row>
    <row r="32" spans="2:13" s="20" customFormat="1" x14ac:dyDescent="0.35">
      <c r="B32" s="56" t="s">
        <v>54</v>
      </c>
      <c r="C32" s="67">
        <v>3810.61</v>
      </c>
      <c r="D32" s="67">
        <f>(C31+D31)/2</f>
        <v>4493.71</v>
      </c>
      <c r="E32" s="67">
        <f t="shared" ref="E32:G32" si="12">(D31+E31)/2</f>
        <v>5535.6350000000002</v>
      </c>
      <c r="F32" s="67">
        <f t="shared" si="12"/>
        <v>5865.2800000000007</v>
      </c>
      <c r="G32" s="67">
        <f t="shared" si="12"/>
        <v>5995.5</v>
      </c>
      <c r="H32" s="67">
        <f t="shared" ref="H32" si="13">(G31+H31)/2</f>
        <v>6154.9</v>
      </c>
      <c r="I32" s="67">
        <f t="shared" ref="I32" si="14">(H31+I31)/2</f>
        <v>6154.9</v>
      </c>
      <c r="J32" s="67">
        <f t="shared" ref="J32" si="15">(I31+J31)/2</f>
        <v>6154.9</v>
      </c>
      <c r="K32" s="67">
        <f t="shared" ref="K32" si="16">(J31+K31)/2</f>
        <v>6154.9</v>
      </c>
      <c r="L32" s="67">
        <f t="shared" ref="L32" si="17">(K31+L31)/2</f>
        <v>6154.9</v>
      </c>
      <c r="M32" s="67">
        <f t="shared" ref="M32" si="18">(L31+M31)/2</f>
        <v>6154.9</v>
      </c>
    </row>
    <row r="33" spans="2:13" s="20" customFormat="1" x14ac:dyDescent="0.35">
      <c r="B33" s="56" t="s">
        <v>55</v>
      </c>
      <c r="C33" s="44">
        <f>C28/C32</f>
        <v>0.12012250007216692</v>
      </c>
      <c r="D33" s="44">
        <f>D28/D32</f>
        <v>0.1134007312443393</v>
      </c>
      <c r="E33" s="44">
        <f t="shared" ref="E33:G33" si="19">E28/E32</f>
        <v>9.963807223561523E-2</v>
      </c>
      <c r="F33" s="44">
        <f t="shared" si="19"/>
        <v>0.13537290632331278</v>
      </c>
      <c r="G33" s="44">
        <f t="shared" si="19"/>
        <v>0.15531648736552414</v>
      </c>
      <c r="H33" s="87">
        <v>0.12</v>
      </c>
      <c r="I33" s="87">
        <v>0.12</v>
      </c>
      <c r="J33" s="87">
        <v>0.12</v>
      </c>
      <c r="K33" s="87">
        <v>0.12</v>
      </c>
      <c r="L33" s="87">
        <v>0.12</v>
      </c>
      <c r="M33" s="87">
        <v>0.12</v>
      </c>
    </row>
    <row r="34" spans="2:13" s="20" customFormat="1" x14ac:dyDescent="0.35">
      <c r="B34" s="17"/>
      <c r="C34" s="8"/>
      <c r="D34" s="8"/>
      <c r="E34" s="8"/>
      <c r="F34" s="8"/>
      <c r="G34" s="8"/>
      <c r="H34" s="8"/>
      <c r="I34" s="8"/>
      <c r="J34" s="8"/>
      <c r="K34" s="8"/>
      <c r="L34" s="8"/>
      <c r="M34" s="8"/>
    </row>
    <row r="35" spans="2:13" s="20" customFormat="1" x14ac:dyDescent="0.35">
      <c r="B35" s="111" t="s">
        <v>56</v>
      </c>
      <c r="C35" s="111"/>
      <c r="D35" s="111"/>
      <c r="E35" s="111"/>
      <c r="F35" s="111"/>
      <c r="G35" s="111"/>
      <c r="H35" s="111"/>
      <c r="I35" s="111"/>
      <c r="J35" s="111"/>
      <c r="K35" s="111"/>
      <c r="L35" s="111"/>
      <c r="M35" s="111"/>
    </row>
    <row r="36" spans="2:13" s="20" customFormat="1" x14ac:dyDescent="0.35">
      <c r="B36" s="37" t="s">
        <v>81</v>
      </c>
      <c r="C36" s="84">
        <v>61.12</v>
      </c>
      <c r="D36" s="84">
        <v>0</v>
      </c>
      <c r="E36" s="84">
        <v>0</v>
      </c>
      <c r="F36" s="84">
        <v>0</v>
      </c>
      <c r="G36" s="84">
        <v>0</v>
      </c>
      <c r="H36" s="36"/>
      <c r="I36" s="36"/>
      <c r="J36" s="36"/>
      <c r="K36" s="36"/>
      <c r="L36" s="36"/>
      <c r="M36" s="36"/>
    </row>
    <row r="37" spans="2:13" s="20" customFormat="1" x14ac:dyDescent="0.35">
      <c r="B37" s="37" t="s">
        <v>16</v>
      </c>
      <c r="C37" s="84">
        <v>0</v>
      </c>
      <c r="D37" s="84">
        <v>0</v>
      </c>
      <c r="E37" s="84">
        <v>0</v>
      </c>
      <c r="F37" s="84">
        <f>0.82*10</f>
        <v>8.1999999999999993</v>
      </c>
      <c r="G37" s="84">
        <f>-1.19*10</f>
        <v>-11.899999999999999</v>
      </c>
      <c r="H37" s="36"/>
      <c r="I37" s="36"/>
      <c r="J37" s="36"/>
      <c r="K37" s="36"/>
      <c r="L37" s="36"/>
      <c r="M37" s="36"/>
    </row>
    <row r="38" spans="2:13" s="20" customFormat="1" x14ac:dyDescent="0.35">
      <c r="B38" s="37" t="s">
        <v>19</v>
      </c>
      <c r="C38" s="84">
        <v>63.5</v>
      </c>
      <c r="D38" s="84">
        <v>69.34</v>
      </c>
      <c r="E38" s="84">
        <v>-21.92</v>
      </c>
      <c r="F38" s="84">
        <f>-5.55*10</f>
        <v>-55.5</v>
      </c>
      <c r="G38" s="84">
        <f>14.99*10</f>
        <v>149.9</v>
      </c>
      <c r="H38" s="36"/>
      <c r="I38" s="36"/>
      <c r="J38" s="36"/>
      <c r="K38" s="36"/>
      <c r="L38" s="36"/>
      <c r="M38" s="36"/>
    </row>
    <row r="39" spans="2:13" s="20" customFormat="1" x14ac:dyDescent="0.35">
      <c r="B39" s="37" t="s">
        <v>17</v>
      </c>
      <c r="C39" s="84">
        <v>75.569999999999993</v>
      </c>
      <c r="D39" s="84">
        <v>35.07</v>
      </c>
      <c r="E39" s="84">
        <v>0</v>
      </c>
      <c r="F39" s="84">
        <v>0</v>
      </c>
      <c r="G39" s="84">
        <v>0</v>
      </c>
      <c r="H39" s="36"/>
      <c r="I39" s="36"/>
      <c r="J39" s="36"/>
      <c r="K39" s="36"/>
      <c r="L39" s="36"/>
      <c r="M39" s="36"/>
    </row>
    <row r="40" spans="2:13" s="20" customFormat="1" x14ac:dyDescent="0.35">
      <c r="B40" s="56" t="s">
        <v>57</v>
      </c>
      <c r="C40" s="67">
        <f>SUM(C36:C39)</f>
        <v>200.19</v>
      </c>
      <c r="D40" s="67">
        <f t="shared" ref="D40:G40" si="20">SUM(D36:D39)</f>
        <v>104.41</v>
      </c>
      <c r="E40" s="67">
        <f t="shared" si="20"/>
        <v>-21.92</v>
      </c>
      <c r="F40" s="67">
        <f t="shared" si="20"/>
        <v>-47.3</v>
      </c>
      <c r="G40" s="67">
        <f t="shared" si="20"/>
        <v>138</v>
      </c>
      <c r="H40" s="36"/>
      <c r="I40" s="36"/>
      <c r="J40" s="36"/>
      <c r="K40" s="36"/>
      <c r="L40" s="36"/>
      <c r="M40" s="36"/>
    </row>
    <row r="41" spans="2:13" s="20" customFormat="1" x14ac:dyDescent="0.35">
      <c r="B41" s="56" t="s">
        <v>67</v>
      </c>
      <c r="C41" s="91">
        <f>'Income Statement'!C15</f>
        <v>272.15000000000214</v>
      </c>
      <c r="D41" s="91">
        <f>'Income Statement'!D15</f>
        <v>-5430.9400000000005</v>
      </c>
      <c r="E41" s="91">
        <f>'Income Statement'!E15</f>
        <v>59.050000000004275</v>
      </c>
      <c r="F41" s="91">
        <f>'Income Statement'!F15</f>
        <v>608.49999999999909</v>
      </c>
      <c r="G41" s="91">
        <f>'Income Statement'!G15</f>
        <v>923.400000000001</v>
      </c>
      <c r="H41" s="91">
        <f>'Income Statement'!H15</f>
        <v>1149.127499999998</v>
      </c>
      <c r="I41" s="91">
        <f>'Income Statement'!I15</f>
        <v>1753.196459999999</v>
      </c>
      <c r="J41" s="91">
        <f>'Income Statement'!J15</f>
        <v>1977.4570614000033</v>
      </c>
      <c r="K41" s="91">
        <f>'Income Statement'!K15</f>
        <v>2715.3159697470028</v>
      </c>
      <c r="L41" s="91">
        <f>'Income Statement'!L15</f>
        <v>2991.6282873267619</v>
      </c>
      <c r="M41" s="91">
        <f>'Income Statement'!M15</f>
        <v>3865.5646746433185</v>
      </c>
    </row>
    <row r="42" spans="2:13" s="20" customFormat="1" x14ac:dyDescent="0.35">
      <c r="B42" s="56" t="s">
        <v>58</v>
      </c>
      <c r="C42" s="44">
        <f>C40/C41</f>
        <v>0.73558699246738357</v>
      </c>
      <c r="D42" s="44">
        <f t="shared" ref="D42:G42" si="21">D40/D41</f>
        <v>-1.9225032867238451E-2</v>
      </c>
      <c r="E42" s="44">
        <f t="shared" si="21"/>
        <v>-0.37121083827262347</v>
      </c>
      <c r="F42" s="44">
        <f t="shared" si="21"/>
        <v>-7.7732128184059279E-2</v>
      </c>
      <c r="G42" s="44">
        <f t="shared" si="21"/>
        <v>0.14944769330734226</v>
      </c>
      <c r="H42" s="87">
        <v>0.25</v>
      </c>
      <c r="I42" s="87">
        <v>0.25</v>
      </c>
      <c r="J42" s="87">
        <v>0.25</v>
      </c>
      <c r="K42" s="87">
        <v>0.25</v>
      </c>
      <c r="L42" s="87">
        <v>0.25</v>
      </c>
      <c r="M42" s="87">
        <v>0.25</v>
      </c>
    </row>
    <row r="43" spans="2:13" s="20" customFormat="1" x14ac:dyDescent="0.35">
      <c r="B43" s="17"/>
      <c r="C43" s="8"/>
      <c r="D43" s="8"/>
      <c r="E43" s="8"/>
      <c r="F43" s="8"/>
      <c r="G43" s="8"/>
      <c r="H43" s="8"/>
      <c r="I43" s="8"/>
      <c r="J43" s="8"/>
      <c r="K43" s="8"/>
      <c r="L43" s="8"/>
      <c r="M43" s="8"/>
    </row>
    <row r="44" spans="2:13" s="20" customFormat="1" x14ac:dyDescent="0.35">
      <c r="B44" s="111" t="s">
        <v>59</v>
      </c>
      <c r="C44" s="111"/>
      <c r="D44" s="111"/>
      <c r="E44" s="111"/>
      <c r="F44" s="111"/>
      <c r="G44" s="111"/>
      <c r="H44" s="111"/>
      <c r="I44" s="111"/>
      <c r="J44" s="111"/>
      <c r="K44" s="111"/>
      <c r="L44" s="111"/>
      <c r="M44" s="111"/>
    </row>
    <row r="45" spans="2:13" s="20" customFormat="1" x14ac:dyDescent="0.35">
      <c r="B45" s="56" t="s">
        <v>61</v>
      </c>
      <c r="C45" s="84">
        <v>1589.48</v>
      </c>
      <c r="D45" s="84">
        <v>1253.07</v>
      </c>
      <c r="E45" s="84">
        <v>1682.34</v>
      </c>
      <c r="F45" s="84">
        <v>2442.6</v>
      </c>
      <c r="G45" s="84">
        <v>2595.1</v>
      </c>
      <c r="H45" s="67">
        <f>(H7/365)*H46</f>
        <v>2896.2210410958905</v>
      </c>
      <c r="I45" s="67">
        <f t="shared" ref="I45:M45" si="22">(I7/365)*I46</f>
        <v>3185.8431452054801</v>
      </c>
      <c r="J45" s="67">
        <f t="shared" si="22"/>
        <v>3348.5487058356175</v>
      </c>
      <c r="K45" s="67">
        <f t="shared" si="22"/>
        <v>3649.9180893608236</v>
      </c>
      <c r="L45" s="67">
        <f t="shared" si="22"/>
        <v>3795.914812935257</v>
      </c>
      <c r="M45" s="67">
        <f t="shared" si="22"/>
        <v>3941.91153650969</v>
      </c>
    </row>
    <row r="46" spans="2:13" s="20" customFormat="1" x14ac:dyDescent="0.35">
      <c r="B46" s="56" t="s">
        <v>60</v>
      </c>
      <c r="C46" s="38">
        <f>(C45/C7)*365</f>
        <v>31.500263606120871</v>
      </c>
      <c r="D46" s="38">
        <f>(D45/D7)*365</f>
        <v>22.07648929361304</v>
      </c>
      <c r="E46" s="38">
        <f>(E45/E7)*365</f>
        <v>21.228301678063485</v>
      </c>
      <c r="F46" s="38">
        <f>(F45/F7)*365</f>
        <v>28.40504030331029</v>
      </c>
      <c r="G46" s="38">
        <f>(G45/G7)*365</f>
        <v>27.597714009340923</v>
      </c>
      <c r="H46" s="90">
        <v>28</v>
      </c>
      <c r="I46" s="90">
        <v>28</v>
      </c>
      <c r="J46" s="90">
        <v>27</v>
      </c>
      <c r="K46" s="90">
        <v>27</v>
      </c>
      <c r="L46" s="90">
        <v>26</v>
      </c>
      <c r="M46" s="90">
        <v>25</v>
      </c>
    </row>
    <row r="47" spans="2:13" s="20" customFormat="1" x14ac:dyDescent="0.35">
      <c r="B47" s="57"/>
      <c r="C47" s="58"/>
      <c r="D47" s="58"/>
      <c r="E47" s="58"/>
      <c r="F47" s="58"/>
      <c r="G47" s="58"/>
      <c r="H47" s="58"/>
      <c r="I47" s="58"/>
      <c r="J47" s="58"/>
      <c r="K47" s="58"/>
      <c r="L47" s="58"/>
      <c r="M47" s="58"/>
    </row>
    <row r="48" spans="2:13" s="20" customFormat="1" x14ac:dyDescent="0.35">
      <c r="B48" s="57" t="s">
        <v>20</v>
      </c>
      <c r="C48" s="85">
        <v>6947.85</v>
      </c>
      <c r="D48" s="85">
        <v>4787.3500000000004</v>
      </c>
      <c r="E48" s="85">
        <v>5735.5</v>
      </c>
      <c r="F48" s="85">
        <v>6153.2000000000007</v>
      </c>
      <c r="G48" s="85">
        <v>5779.5</v>
      </c>
      <c r="H48" s="68">
        <f>(H14/365)*H49</f>
        <v>6594.0746917808228</v>
      </c>
      <c r="I48" s="68">
        <f t="shared" ref="I48:M48" si="23">(I14/365)*I49</f>
        <v>7156.7690654794533</v>
      </c>
      <c r="J48" s="68">
        <f t="shared" si="23"/>
        <v>7709.1032427682212</v>
      </c>
      <c r="K48" s="68">
        <f t="shared" si="23"/>
        <v>8289.3695273928042</v>
      </c>
      <c r="L48" s="68">
        <f t="shared" si="23"/>
        <v>8845.9414813748936</v>
      </c>
      <c r="M48" s="68">
        <f t="shared" si="23"/>
        <v>9422.7453368727638</v>
      </c>
    </row>
    <row r="49" spans="2:13" s="20" customFormat="1" x14ac:dyDescent="0.35">
      <c r="B49" s="56" t="s">
        <v>62</v>
      </c>
      <c r="C49" s="38">
        <f>(C48/C14)*365</f>
        <v>186.20638573298845</v>
      </c>
      <c r="D49" s="38">
        <f t="shared" ref="D49:G49" si="24">(D48/D14)*365</f>
        <v>83.988192798881045</v>
      </c>
      <c r="E49" s="38">
        <f t="shared" si="24"/>
        <v>90.111489136039907</v>
      </c>
      <c r="F49" s="38">
        <f t="shared" si="24"/>
        <v>94.75567668823993</v>
      </c>
      <c r="G49" s="38">
        <f t="shared" si="24"/>
        <v>82.832071589561565</v>
      </c>
      <c r="H49" s="90">
        <v>85</v>
      </c>
      <c r="I49" s="90">
        <v>85</v>
      </c>
      <c r="J49" s="90">
        <v>84</v>
      </c>
      <c r="K49" s="90">
        <v>84</v>
      </c>
      <c r="L49" s="90">
        <v>83</v>
      </c>
      <c r="M49" s="90">
        <v>83</v>
      </c>
    </row>
    <row r="50" spans="2:13" s="20" customFormat="1" x14ac:dyDescent="0.35">
      <c r="B50" s="57"/>
      <c r="C50" s="58"/>
      <c r="D50" s="58"/>
      <c r="E50" s="58"/>
      <c r="F50" s="58"/>
      <c r="G50" s="58"/>
      <c r="H50" s="58"/>
      <c r="I50" s="58"/>
      <c r="J50" s="58"/>
      <c r="K50" s="58"/>
      <c r="L50" s="58"/>
      <c r="M50" s="58"/>
    </row>
    <row r="51" spans="2:13" s="20" customFormat="1" x14ac:dyDescent="0.35">
      <c r="B51" s="56" t="s">
        <v>63</v>
      </c>
      <c r="C51" s="84">
        <v>3041.2999999999997</v>
      </c>
      <c r="D51" s="84">
        <v>2258.59</v>
      </c>
      <c r="E51" s="84">
        <v>1525.8400000000001</v>
      </c>
      <c r="F51" s="84">
        <v>2494.4</v>
      </c>
      <c r="G51" s="84">
        <v>2556.7999999999997</v>
      </c>
      <c r="H51" s="67">
        <f>(H14/365)*H52</f>
        <v>2637.629876712329</v>
      </c>
      <c r="I51" s="67">
        <f t="shared" ref="I51:M51" si="25">(I14/365)*I52</f>
        <v>2862.7076261917814</v>
      </c>
      <c r="J51" s="67">
        <f t="shared" si="25"/>
        <v>3028.5762739446582</v>
      </c>
      <c r="K51" s="67">
        <f t="shared" si="25"/>
        <v>3256.5380286186014</v>
      </c>
      <c r="L51" s="67">
        <f t="shared" si="25"/>
        <v>3410.483462698754</v>
      </c>
      <c r="M51" s="67">
        <f t="shared" si="25"/>
        <v>3632.8656720473305</v>
      </c>
    </row>
    <row r="52" spans="2:13" s="20" customFormat="1" x14ac:dyDescent="0.35">
      <c r="B52" s="57" t="s">
        <v>64</v>
      </c>
      <c r="C52" s="59">
        <f>(C51/C11)*365</f>
        <v>83.872701872200167</v>
      </c>
      <c r="D52" s="59">
        <f t="shared" ref="D52:G52" si="26">(D51/D11)*365</f>
        <v>44.564381377120078</v>
      </c>
      <c r="E52" s="59">
        <f t="shared" si="26"/>
        <v>23.251647541890463</v>
      </c>
      <c r="F52" s="59">
        <f t="shared" si="26"/>
        <v>37.541016728310304</v>
      </c>
      <c r="G52" s="59">
        <f t="shared" si="26"/>
        <v>37.48717598524987</v>
      </c>
      <c r="H52" s="82">
        <v>34</v>
      </c>
      <c r="I52" s="82">
        <v>34</v>
      </c>
      <c r="J52" s="82">
        <v>33</v>
      </c>
      <c r="K52" s="82">
        <v>33</v>
      </c>
      <c r="L52" s="82">
        <v>32</v>
      </c>
      <c r="M52" s="82">
        <v>32</v>
      </c>
    </row>
    <row r="53" spans="2:13" s="20" customFormat="1" x14ac:dyDescent="0.35">
      <c r="B53" s="57"/>
      <c r="C53" s="58"/>
      <c r="D53" s="58"/>
      <c r="E53" s="58"/>
      <c r="F53" s="58"/>
      <c r="G53" s="58"/>
      <c r="H53" s="58"/>
      <c r="I53" s="58"/>
      <c r="J53" s="58"/>
      <c r="K53" s="58"/>
      <c r="L53" s="58"/>
      <c r="M53" s="58"/>
    </row>
    <row r="54" spans="2:13" s="20" customFormat="1" x14ac:dyDescent="0.35">
      <c r="B54" s="57" t="s">
        <v>82</v>
      </c>
      <c r="C54" s="85">
        <v>231.19</v>
      </c>
      <c r="D54" s="85">
        <v>436.47</v>
      </c>
      <c r="E54" s="85">
        <v>599.39</v>
      </c>
      <c r="F54" s="85">
        <v>485</v>
      </c>
      <c r="G54" s="85">
        <v>303.10000000000002</v>
      </c>
      <c r="H54" s="85">
        <v>303.10000000000002</v>
      </c>
      <c r="I54" s="85">
        <v>303.10000000000002</v>
      </c>
      <c r="J54" s="85">
        <v>303.10000000000002</v>
      </c>
      <c r="K54" s="85">
        <v>303.10000000000002</v>
      </c>
      <c r="L54" s="85">
        <v>303.10000000000002</v>
      </c>
      <c r="M54" s="85">
        <v>303.10000000000002</v>
      </c>
    </row>
    <row r="55" spans="2:13" s="20" customFormat="1" x14ac:dyDescent="0.35">
      <c r="B55" s="17"/>
      <c r="C55" s="8"/>
      <c r="D55" s="8"/>
      <c r="E55" s="8"/>
      <c r="F55" s="8"/>
      <c r="G55" s="8"/>
      <c r="H55" s="8"/>
      <c r="I55" s="8"/>
      <c r="J55" s="8"/>
      <c r="K55" s="8"/>
      <c r="L55" s="8"/>
      <c r="M55" s="8"/>
    </row>
    <row r="56" spans="2:13" s="20" customFormat="1" x14ac:dyDescent="0.35">
      <c r="B56" s="111" t="s">
        <v>65</v>
      </c>
      <c r="C56" s="111"/>
      <c r="D56" s="111"/>
      <c r="E56" s="111"/>
      <c r="F56" s="111"/>
      <c r="G56" s="111"/>
      <c r="H56" s="111"/>
      <c r="I56" s="111"/>
      <c r="J56" s="111"/>
      <c r="K56" s="111"/>
      <c r="L56" s="111"/>
      <c r="M56" s="111"/>
    </row>
    <row r="57" spans="2:13" s="20" customFormat="1" x14ac:dyDescent="0.35">
      <c r="B57" s="56" t="s">
        <v>73</v>
      </c>
      <c r="C57" s="84">
        <v>434.7</v>
      </c>
      <c r="D57" s="84">
        <v>355.65</v>
      </c>
      <c r="E57" s="84">
        <v>866.53</v>
      </c>
      <c r="F57" s="84">
        <v>611.85</v>
      </c>
      <c r="G57" s="84">
        <v>1238.5</v>
      </c>
      <c r="H57" s="67">
        <f>H7*H58</f>
        <v>1132.6293000000001</v>
      </c>
      <c r="I57" s="67">
        <f t="shared" ref="I57:M57" si="27">I7*I58</f>
        <v>1245.8922300000002</v>
      </c>
      <c r="J57" s="67">
        <f t="shared" si="27"/>
        <v>1358.0225307000005</v>
      </c>
      <c r="K57" s="67">
        <f t="shared" si="27"/>
        <v>1480.2445584630007</v>
      </c>
      <c r="L57" s="67">
        <f t="shared" si="27"/>
        <v>1598.6641231400408</v>
      </c>
      <c r="M57" s="67">
        <f t="shared" si="27"/>
        <v>1726.5572529912442</v>
      </c>
    </row>
    <row r="58" spans="2:13" s="20" customFormat="1" x14ac:dyDescent="0.35">
      <c r="B58" s="56" t="s">
        <v>180</v>
      </c>
      <c r="C58" s="44">
        <f>C57/C7</f>
        <v>2.3602385323193049E-2</v>
      </c>
      <c r="D58" s="44">
        <f>D57/D7</f>
        <v>1.7166613410665551E-2</v>
      </c>
      <c r="E58" s="44">
        <f>E57/E7</f>
        <v>2.9956579156612342E-2</v>
      </c>
      <c r="F58" s="44">
        <f>F57/F7</f>
        <v>1.9493739446267564E-2</v>
      </c>
      <c r="G58" s="44">
        <f>G57/G7</f>
        <v>3.6084621861715925E-2</v>
      </c>
      <c r="H58" s="87">
        <v>0.03</v>
      </c>
      <c r="I58" s="87">
        <v>0.03</v>
      </c>
      <c r="J58" s="87">
        <v>0.03</v>
      </c>
      <c r="K58" s="87">
        <v>0.03</v>
      </c>
      <c r="L58" s="87">
        <v>0.03</v>
      </c>
      <c r="M58" s="87">
        <v>0.03</v>
      </c>
    </row>
    <row r="59" spans="2:13" s="20" customFormat="1" x14ac:dyDescent="0.35">
      <c r="B59" s="17"/>
      <c r="C59" s="8"/>
      <c r="D59" s="8"/>
      <c r="E59" s="8"/>
      <c r="F59" s="8"/>
      <c r="G59" s="8"/>
      <c r="H59" s="8"/>
      <c r="I59" s="8"/>
      <c r="J59" s="8"/>
      <c r="K59" s="8"/>
      <c r="L59" s="8"/>
      <c r="M59" s="8"/>
    </row>
    <row r="60" spans="2:13" s="20" customFormat="1" x14ac:dyDescent="0.35">
      <c r="B60" s="42" t="s">
        <v>209</v>
      </c>
      <c r="C60" s="85">
        <v>4270.1099999999997</v>
      </c>
      <c r="D60" s="68">
        <f>C63</f>
        <v>4218.5199999999995</v>
      </c>
      <c r="E60" s="68">
        <f t="shared" ref="E60:H60" si="28">D63</f>
        <v>4036.7299999999991</v>
      </c>
      <c r="F60" s="68">
        <f t="shared" si="28"/>
        <v>4330.5099999999993</v>
      </c>
      <c r="G60" s="68">
        <f t="shared" si="28"/>
        <v>4339.8599999999997</v>
      </c>
      <c r="H60" s="68">
        <f>'Balance Sheet'!G7</f>
        <v>4485.5</v>
      </c>
      <c r="I60" s="68">
        <f t="shared" ref="I60:M60" si="29">H63</f>
        <v>4863.0431000000008</v>
      </c>
      <c r="J60" s="68">
        <f t="shared" si="29"/>
        <v>5278.3405100000009</v>
      </c>
      <c r="K60" s="68">
        <f t="shared" si="29"/>
        <v>5731.0146869000018</v>
      </c>
      <c r="L60" s="68">
        <f t="shared" si="29"/>
        <v>6224.4295397210017</v>
      </c>
      <c r="M60" s="68">
        <f t="shared" si="29"/>
        <v>6757.3175807676816</v>
      </c>
    </row>
    <row r="61" spans="2:13" s="20" customFormat="1" x14ac:dyDescent="0.35">
      <c r="B61" s="42" t="s">
        <v>210</v>
      </c>
      <c r="C61" s="85">
        <v>434.7</v>
      </c>
      <c r="D61" s="85">
        <v>355.65</v>
      </c>
      <c r="E61" s="85">
        <v>866.53</v>
      </c>
      <c r="F61" s="85">
        <v>611.85</v>
      </c>
      <c r="G61" s="85">
        <v>1238.5</v>
      </c>
      <c r="H61" s="68">
        <f>H57</f>
        <v>1132.6293000000001</v>
      </c>
      <c r="I61" s="68">
        <f t="shared" ref="I61:M61" si="30">I57</f>
        <v>1245.8922300000002</v>
      </c>
      <c r="J61" s="68">
        <f t="shared" si="30"/>
        <v>1358.0225307000005</v>
      </c>
      <c r="K61" s="68">
        <f t="shared" si="30"/>
        <v>1480.2445584630007</v>
      </c>
      <c r="L61" s="68">
        <f t="shared" si="30"/>
        <v>1598.6641231400408</v>
      </c>
      <c r="M61" s="68">
        <f t="shared" si="30"/>
        <v>1726.5572529912442</v>
      </c>
    </row>
    <row r="62" spans="2:13" s="20" customFormat="1" x14ac:dyDescent="0.35">
      <c r="B62" s="42" t="s">
        <v>211</v>
      </c>
      <c r="C62" s="85">
        <v>486.29</v>
      </c>
      <c r="D62" s="85">
        <v>537.44000000000005</v>
      </c>
      <c r="E62" s="85">
        <v>572.75</v>
      </c>
      <c r="F62" s="85">
        <v>602.5</v>
      </c>
      <c r="G62" s="85">
        <v>672.2</v>
      </c>
      <c r="H62" s="68">
        <f>'Income Statement'!H12</f>
        <v>755.08620000000008</v>
      </c>
      <c r="I62" s="68">
        <f>'Income Statement'!I12</f>
        <v>830.59482000000025</v>
      </c>
      <c r="J62" s="68">
        <f>'Income Statement'!J12</f>
        <v>905.34835380000038</v>
      </c>
      <c r="K62" s="68">
        <f>'Income Statement'!K12</f>
        <v>986.82970564200048</v>
      </c>
      <c r="L62" s="68">
        <f>'Income Statement'!L12</f>
        <v>1065.7760820933606</v>
      </c>
      <c r="M62" s="68">
        <f>'Income Statement'!M12</f>
        <v>1151.0381686608296</v>
      </c>
    </row>
    <row r="63" spans="2:13" s="20" customFormat="1" x14ac:dyDescent="0.35">
      <c r="B63" s="42" t="s">
        <v>212</v>
      </c>
      <c r="C63" s="68">
        <f>C60+C61-C62</f>
        <v>4218.5199999999995</v>
      </c>
      <c r="D63" s="68">
        <f t="shared" ref="D63:M63" si="31">D60+D61-D62</f>
        <v>4036.7299999999991</v>
      </c>
      <c r="E63" s="68">
        <f t="shared" si="31"/>
        <v>4330.5099999999993</v>
      </c>
      <c r="F63" s="68">
        <f t="shared" si="31"/>
        <v>4339.8599999999997</v>
      </c>
      <c r="G63" s="68">
        <f t="shared" si="31"/>
        <v>4906.16</v>
      </c>
      <c r="H63" s="68">
        <f t="shared" si="31"/>
        <v>4863.0431000000008</v>
      </c>
      <c r="I63" s="68">
        <f t="shared" si="31"/>
        <v>5278.3405100000009</v>
      </c>
      <c r="J63" s="68">
        <f t="shared" si="31"/>
        <v>5731.0146869000018</v>
      </c>
      <c r="K63" s="68">
        <f t="shared" si="31"/>
        <v>6224.4295397210017</v>
      </c>
      <c r="L63" s="68">
        <f t="shared" si="31"/>
        <v>6757.3175807676816</v>
      </c>
      <c r="M63" s="68">
        <f t="shared" si="31"/>
        <v>7332.8366650980961</v>
      </c>
    </row>
    <row r="64" spans="2:13" s="20" customFormat="1" x14ac:dyDescent="0.35">
      <c r="B64" s="6"/>
      <c r="C64" s="8"/>
      <c r="D64" s="8"/>
      <c r="E64" s="8"/>
      <c r="F64" s="8"/>
      <c r="G64" s="8"/>
      <c r="H64" s="8"/>
      <c r="I64" s="8"/>
      <c r="J64" s="8"/>
      <c r="K64" s="8"/>
      <c r="L64" s="8"/>
      <c r="M64" s="8"/>
    </row>
    <row r="65" spans="1:2" x14ac:dyDescent="0.35">
      <c r="A65" s="20"/>
      <c r="B65" s="6"/>
    </row>
    <row r="66" spans="1:2" x14ac:dyDescent="0.35">
      <c r="A66" s="20"/>
      <c r="B66" s="6"/>
    </row>
    <row r="67" spans="1:2" x14ac:dyDescent="0.35">
      <c r="B67" s="6"/>
    </row>
    <row r="68" spans="1:2" x14ac:dyDescent="0.35">
      <c r="B68" s="6"/>
    </row>
    <row r="69" spans="1:2" x14ac:dyDescent="0.35">
      <c r="B69" s="6"/>
    </row>
    <row r="70" spans="1:2" x14ac:dyDescent="0.35">
      <c r="B70" s="6"/>
    </row>
  </sheetData>
  <mergeCells count="10">
    <mergeCell ref="B56:M56"/>
    <mergeCell ref="C4:G4"/>
    <mergeCell ref="H4:M4"/>
    <mergeCell ref="B1:M1"/>
    <mergeCell ref="B44:M44"/>
    <mergeCell ref="B35:M35"/>
    <mergeCell ref="B27:M27"/>
    <mergeCell ref="B23:M23"/>
    <mergeCell ref="B10:M10"/>
    <mergeCell ref="B6:M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9421A-4EB2-4B1D-BA62-D14650011E5E}">
  <dimension ref="A1:O28"/>
  <sheetViews>
    <sheetView showGridLines="0" workbookViewId="0"/>
  </sheetViews>
  <sheetFormatPr defaultRowHeight="14" x14ac:dyDescent="0.3"/>
  <cols>
    <col min="1" max="1" width="1.6328125" style="23" customWidth="1"/>
    <col min="2" max="2" width="40.6328125" style="23" customWidth="1"/>
    <col min="3" max="13" width="11.36328125" style="23" customWidth="1"/>
    <col min="14" max="16384" width="8.7265625" style="23"/>
  </cols>
  <sheetData>
    <row r="1" spans="1:15" ht="25" customHeight="1" x14ac:dyDescent="0.3">
      <c r="B1" s="96" t="s">
        <v>3</v>
      </c>
      <c r="C1" s="96"/>
      <c r="D1" s="96"/>
      <c r="E1" s="96"/>
      <c r="F1" s="96"/>
      <c r="G1" s="96"/>
      <c r="H1" s="96"/>
      <c r="I1" s="96"/>
      <c r="J1" s="96"/>
      <c r="K1" s="96"/>
      <c r="L1" s="96"/>
      <c r="M1" s="96"/>
    </row>
    <row r="2" spans="1:15" x14ac:dyDescent="0.3">
      <c r="B2" s="8"/>
      <c r="C2" s="8"/>
      <c r="D2" s="8"/>
      <c r="E2" s="8"/>
      <c r="F2" s="8"/>
      <c r="G2" s="8"/>
      <c r="H2" s="8"/>
      <c r="I2" s="8"/>
      <c r="J2" s="8"/>
      <c r="K2" s="8"/>
      <c r="L2" s="8"/>
      <c r="M2" s="52" t="s">
        <v>7</v>
      </c>
    </row>
    <row r="3" spans="1:15" x14ac:dyDescent="0.3">
      <c r="B3" s="8"/>
      <c r="C3" s="95" t="s">
        <v>0</v>
      </c>
      <c r="D3" s="95"/>
      <c r="E3" s="95"/>
      <c r="F3" s="95"/>
      <c r="G3" s="95"/>
      <c r="H3" s="95" t="s">
        <v>1</v>
      </c>
      <c r="I3" s="95"/>
      <c r="J3" s="95"/>
      <c r="K3" s="95"/>
      <c r="L3" s="95"/>
      <c r="M3" s="95"/>
    </row>
    <row r="4" spans="1:15" x14ac:dyDescent="0.3">
      <c r="A4" s="24"/>
      <c r="B4" s="12" t="s">
        <v>8</v>
      </c>
      <c r="C4" s="10">
        <v>2021</v>
      </c>
      <c r="D4" s="10">
        <v>2022</v>
      </c>
      <c r="E4" s="10">
        <v>2023</v>
      </c>
      <c r="F4" s="10">
        <v>2024</v>
      </c>
      <c r="G4" s="10">
        <v>2025</v>
      </c>
      <c r="H4" s="10">
        <v>2026</v>
      </c>
      <c r="I4" s="10">
        <v>2027</v>
      </c>
      <c r="J4" s="10">
        <v>2028</v>
      </c>
      <c r="K4" s="10">
        <v>2029</v>
      </c>
      <c r="L4" s="10">
        <v>2030</v>
      </c>
      <c r="M4" s="10">
        <v>2031</v>
      </c>
    </row>
    <row r="5" spans="1:15" x14ac:dyDescent="0.3">
      <c r="A5" s="24"/>
      <c r="B5" s="6"/>
      <c r="C5" s="8"/>
      <c r="D5" s="8"/>
      <c r="E5" s="8"/>
      <c r="F5" s="8"/>
      <c r="G5" s="8"/>
      <c r="H5" s="8"/>
      <c r="I5" s="8"/>
      <c r="J5" s="8"/>
      <c r="K5" s="8"/>
      <c r="L5" s="8"/>
      <c r="M5" s="8"/>
    </row>
    <row r="6" spans="1:15" s="24" customFormat="1" x14ac:dyDescent="0.3">
      <c r="B6" s="37" t="s">
        <v>9</v>
      </c>
      <c r="C6" s="91">
        <f>Assumptions!C7</f>
        <v>18417.63</v>
      </c>
      <c r="D6" s="91">
        <f>Assumptions!D7</f>
        <v>20717.54</v>
      </c>
      <c r="E6" s="91">
        <f>Assumptions!E7</f>
        <v>28926.2</v>
      </c>
      <c r="F6" s="91">
        <f>Assumptions!F7</f>
        <v>31387</v>
      </c>
      <c r="G6" s="91">
        <f>Assumptions!G7</f>
        <v>34322.1</v>
      </c>
      <c r="H6" s="67">
        <f>G6*(1+Assumptions!H8)</f>
        <v>37754.310000000005</v>
      </c>
      <c r="I6" s="67">
        <f>H6*(1+Assumptions!I8)</f>
        <v>41529.741000000009</v>
      </c>
      <c r="J6" s="67">
        <f>I6*(1+Assumptions!J8)</f>
        <v>45267.417690000017</v>
      </c>
      <c r="K6" s="67">
        <f>J6*(1+Assumptions!K8)</f>
        <v>49341.485282100024</v>
      </c>
      <c r="L6" s="67">
        <f>K6*(1+Assumptions!L8)</f>
        <v>53288.80410466803</v>
      </c>
      <c r="M6" s="67">
        <f>L6*(1+Assumptions!M8)</f>
        <v>57551.908433041477</v>
      </c>
    </row>
    <row r="7" spans="1:15" s="24" customFormat="1" x14ac:dyDescent="0.3">
      <c r="B7" s="37" t="s">
        <v>42</v>
      </c>
      <c r="C7" s="91">
        <f>Assumptions!C14</f>
        <v>13619.109999999999</v>
      </c>
      <c r="D7" s="91">
        <f>Assumptions!D14</f>
        <v>20805.100000000002</v>
      </c>
      <c r="E7" s="91">
        <f>Assumptions!E14</f>
        <v>23231.859999999997</v>
      </c>
      <c r="F7" s="91">
        <f>Assumptions!F14</f>
        <v>23702.2</v>
      </c>
      <c r="G7" s="91">
        <f>Assumptions!G14</f>
        <v>25467.399999999998</v>
      </c>
      <c r="H7" s="67">
        <f>H6*Assumptions!H15</f>
        <v>28315.732500000006</v>
      </c>
      <c r="I7" s="67">
        <f>I6*Assumptions!I15</f>
        <v>30732.008340000008</v>
      </c>
      <c r="J7" s="67">
        <f>J6*Assumptions!J15</f>
        <v>33497.889090600009</v>
      </c>
      <c r="K7" s="67">
        <f>K6*Assumptions!K15</f>
        <v>36019.284255933017</v>
      </c>
      <c r="L7" s="67">
        <f>L6*Assumptions!L15</f>
        <v>38900.826996407661</v>
      </c>
      <c r="M7" s="67">
        <f>M6*Assumptions!M15</f>
        <v>41437.374071789862</v>
      </c>
    </row>
    <row r="8" spans="1:15" s="24" customFormat="1" x14ac:dyDescent="0.3">
      <c r="B8" s="39" t="s">
        <v>68</v>
      </c>
      <c r="C8" s="69">
        <f>C6-C7</f>
        <v>4798.5200000000023</v>
      </c>
      <c r="D8" s="69">
        <f t="shared" ref="D8:G8" si="0">D6-D7</f>
        <v>-87.56000000000131</v>
      </c>
      <c r="E8" s="69">
        <f t="shared" si="0"/>
        <v>5694.3400000000038</v>
      </c>
      <c r="F8" s="69">
        <f t="shared" si="0"/>
        <v>7684.7999999999993</v>
      </c>
      <c r="G8" s="69">
        <f t="shared" si="0"/>
        <v>8854.7000000000007</v>
      </c>
      <c r="H8" s="69">
        <f t="shared" ref="H8" si="1">H6-H7</f>
        <v>9438.5774999999994</v>
      </c>
      <c r="I8" s="69">
        <f t="shared" ref="I8" si="2">I6-I7</f>
        <v>10797.732660000001</v>
      </c>
      <c r="J8" s="69">
        <f t="shared" ref="J8" si="3">J6-J7</f>
        <v>11769.528599400008</v>
      </c>
      <c r="K8" s="69">
        <f t="shared" ref="K8" si="4">K6-K7</f>
        <v>13322.201026167008</v>
      </c>
      <c r="L8" s="69">
        <f t="shared" ref="L8" si="5">L6-L7</f>
        <v>14387.977108260369</v>
      </c>
      <c r="M8" s="69">
        <f t="shared" ref="M8" si="6">M6-M7</f>
        <v>16114.534361251615</v>
      </c>
      <c r="O8" s="25"/>
    </row>
    <row r="9" spans="1:15" s="24" customFormat="1" x14ac:dyDescent="0.3">
      <c r="B9" s="37" t="s">
        <v>13</v>
      </c>
      <c r="C9" s="91">
        <f>Assumptions!C17</f>
        <v>781.97</v>
      </c>
      <c r="D9" s="91">
        <f>Assumptions!D17</f>
        <v>836.63</v>
      </c>
      <c r="E9" s="91">
        <f>Assumptions!E17</f>
        <v>980.56</v>
      </c>
      <c r="F9" s="91">
        <f>Assumptions!F17</f>
        <v>1221.3</v>
      </c>
      <c r="G9" s="91">
        <f>Assumptions!G17</f>
        <v>1499.5</v>
      </c>
      <c r="H9" s="67">
        <f>H6*Assumptions!H18</f>
        <v>1510.1724000000002</v>
      </c>
      <c r="I9" s="67">
        <f>I6*Assumptions!I18</f>
        <v>1661.1896400000005</v>
      </c>
      <c r="J9" s="67">
        <f>J6*Assumptions!J18</f>
        <v>1810.6967076000008</v>
      </c>
      <c r="K9" s="67">
        <f>K6*Assumptions!K18</f>
        <v>1973.659411284001</v>
      </c>
      <c r="L9" s="67">
        <f>L6*Assumptions!L18</f>
        <v>2131.5521641867213</v>
      </c>
      <c r="M9" s="67">
        <f>M6*Assumptions!M18</f>
        <v>2302.0763373216591</v>
      </c>
    </row>
    <row r="10" spans="1:15" s="24" customFormat="1" x14ac:dyDescent="0.3">
      <c r="B10" s="37" t="s">
        <v>15</v>
      </c>
      <c r="C10" s="91">
        <f>Assumptions!C20</f>
        <v>2800.37</v>
      </c>
      <c r="D10" s="91">
        <f>Assumptions!D20</f>
        <v>3459.72</v>
      </c>
      <c r="E10" s="91">
        <f>Assumptions!E20</f>
        <v>3530.42</v>
      </c>
      <c r="F10" s="91">
        <f>Assumptions!F20</f>
        <v>4458.5</v>
      </c>
      <c r="G10" s="91">
        <f>Assumptions!G20</f>
        <v>4828.3999999999996</v>
      </c>
      <c r="H10" s="67">
        <f>H6*Assumptions!H21</f>
        <v>5285.6034000000009</v>
      </c>
      <c r="I10" s="67">
        <f>I6*Assumptions!I21</f>
        <v>5814.1637400000018</v>
      </c>
      <c r="J10" s="67">
        <f>J6*Assumptions!J21</f>
        <v>6337.438476600003</v>
      </c>
      <c r="K10" s="67">
        <f>K6*Assumptions!K21</f>
        <v>6907.8079394940041</v>
      </c>
      <c r="L10" s="67">
        <f>L6*Assumptions!L21</f>
        <v>7460.4325746535251</v>
      </c>
      <c r="M10" s="67">
        <f>M6*Assumptions!M21</f>
        <v>8057.2671806258077</v>
      </c>
    </row>
    <row r="11" spans="1:15" s="24" customFormat="1" x14ac:dyDescent="0.3">
      <c r="B11" s="55" t="s">
        <v>69</v>
      </c>
      <c r="C11" s="69">
        <f>C8-(C10+C9)</f>
        <v>1216.1800000000021</v>
      </c>
      <c r="D11" s="69">
        <f t="shared" ref="D11:G11" si="7">D8-(D10+D9)</f>
        <v>-4383.9100000000008</v>
      </c>
      <c r="E11" s="69">
        <f t="shared" si="7"/>
        <v>1183.3600000000042</v>
      </c>
      <c r="F11" s="69">
        <f t="shared" si="7"/>
        <v>2004.9999999999991</v>
      </c>
      <c r="G11" s="69">
        <f t="shared" si="7"/>
        <v>2526.8000000000011</v>
      </c>
      <c r="H11" s="69">
        <f t="shared" ref="H11" si="8">H8-(H10+H9)</f>
        <v>2642.8016999999982</v>
      </c>
      <c r="I11" s="69">
        <f t="shared" ref="I11" si="9">I8-(I10+I9)</f>
        <v>3322.3792799999992</v>
      </c>
      <c r="J11" s="69">
        <f t="shared" ref="J11" si="10">J8-(J10+J9)</f>
        <v>3621.3934152000038</v>
      </c>
      <c r="K11" s="69">
        <f t="shared" ref="K11" si="11">K8-(K10+K9)</f>
        <v>4440.7336753890031</v>
      </c>
      <c r="L11" s="69">
        <f t="shared" ref="L11" si="12">L8-(L10+L9)</f>
        <v>4795.9923694201225</v>
      </c>
      <c r="M11" s="69">
        <f t="shared" ref="M11" si="13">M8-(M10+M9)</f>
        <v>5755.1908433041481</v>
      </c>
    </row>
    <row r="12" spans="1:15" s="24" customFormat="1" x14ac:dyDescent="0.3">
      <c r="B12" s="37" t="s">
        <v>14</v>
      </c>
      <c r="C12" s="91">
        <f>Assumptions!C24</f>
        <v>486.29</v>
      </c>
      <c r="D12" s="91">
        <f>Assumptions!D24</f>
        <v>537.44000000000005</v>
      </c>
      <c r="E12" s="91">
        <f>Assumptions!E24</f>
        <v>572.75</v>
      </c>
      <c r="F12" s="91">
        <f>Assumptions!F24</f>
        <v>602.5</v>
      </c>
      <c r="G12" s="91">
        <f>Assumptions!G24</f>
        <v>672.2</v>
      </c>
      <c r="H12" s="67">
        <f>H6*Assumptions!H25</f>
        <v>755.08620000000008</v>
      </c>
      <c r="I12" s="67">
        <f>I6*Assumptions!I25</f>
        <v>830.59482000000025</v>
      </c>
      <c r="J12" s="67">
        <f>J6*Assumptions!J25</f>
        <v>905.34835380000038</v>
      </c>
      <c r="K12" s="67">
        <f>K6*Assumptions!K25</f>
        <v>986.82970564200048</v>
      </c>
      <c r="L12" s="67">
        <f>L6*Assumptions!L25</f>
        <v>1065.7760820933606</v>
      </c>
      <c r="M12" s="67">
        <f>M6*Assumptions!M25</f>
        <v>1151.0381686608296</v>
      </c>
    </row>
    <row r="13" spans="1:15" s="24" customFormat="1" x14ac:dyDescent="0.3">
      <c r="B13" s="39" t="s">
        <v>70</v>
      </c>
      <c r="C13" s="69">
        <f>C11-C12</f>
        <v>729.89000000000215</v>
      </c>
      <c r="D13" s="69">
        <f t="shared" ref="D13:G13" si="14">D11-D12</f>
        <v>-4921.3500000000004</v>
      </c>
      <c r="E13" s="69">
        <f t="shared" si="14"/>
        <v>610.61000000000422</v>
      </c>
      <c r="F13" s="69">
        <f t="shared" si="14"/>
        <v>1402.4999999999991</v>
      </c>
      <c r="G13" s="69">
        <f t="shared" si="14"/>
        <v>1854.600000000001</v>
      </c>
      <c r="H13" s="69">
        <f t="shared" ref="H13" si="15">H11-H12</f>
        <v>1887.715499999998</v>
      </c>
      <c r="I13" s="69">
        <f t="shared" ref="I13" si="16">I11-I12</f>
        <v>2491.7844599999989</v>
      </c>
      <c r="J13" s="69">
        <f t="shared" ref="J13" si="17">J11-J12</f>
        <v>2716.0450614000033</v>
      </c>
      <c r="K13" s="69">
        <f t="shared" ref="K13" si="18">K11-K12</f>
        <v>3453.9039697470025</v>
      </c>
      <c r="L13" s="69">
        <f t="shared" ref="L13" si="19">L11-L12</f>
        <v>3730.2162873267616</v>
      </c>
      <c r="M13" s="69">
        <f t="shared" ref="M13" si="20">M11-M12</f>
        <v>4604.1526746433183</v>
      </c>
    </row>
    <row r="14" spans="1:15" s="24" customFormat="1" x14ac:dyDescent="0.3">
      <c r="B14" s="37" t="s">
        <v>53</v>
      </c>
      <c r="C14" s="91">
        <f>Assumptions!C28</f>
        <v>457.74</v>
      </c>
      <c r="D14" s="91">
        <f>Assumptions!D28</f>
        <v>509.59</v>
      </c>
      <c r="E14" s="91">
        <f>Assumptions!E28</f>
        <v>551.55999999999995</v>
      </c>
      <c r="F14" s="91">
        <f>Assumptions!F28</f>
        <v>794</v>
      </c>
      <c r="G14" s="91">
        <f>Assumptions!G28</f>
        <v>931.2</v>
      </c>
      <c r="H14" s="91">
        <f>Assumptions!H28</f>
        <v>738.58799999999997</v>
      </c>
      <c r="I14" s="91">
        <f>Assumptions!I28</f>
        <v>738.58799999999997</v>
      </c>
      <c r="J14" s="91">
        <f>Assumptions!J28</f>
        <v>738.58799999999997</v>
      </c>
      <c r="K14" s="91">
        <f>Assumptions!K28</f>
        <v>738.58799999999997</v>
      </c>
      <c r="L14" s="91">
        <f>Assumptions!L28</f>
        <v>738.58799999999997</v>
      </c>
      <c r="M14" s="91">
        <f>Assumptions!M28</f>
        <v>738.58799999999997</v>
      </c>
      <c r="O14" s="25"/>
    </row>
    <row r="15" spans="1:15" s="24" customFormat="1" x14ac:dyDescent="0.3">
      <c r="B15" s="55" t="s">
        <v>71</v>
      </c>
      <c r="C15" s="69">
        <f>C13-C14</f>
        <v>272.15000000000214</v>
      </c>
      <c r="D15" s="69">
        <f t="shared" ref="D15:G15" si="21">D13-D14</f>
        <v>-5430.9400000000005</v>
      </c>
      <c r="E15" s="69">
        <f t="shared" si="21"/>
        <v>59.050000000004275</v>
      </c>
      <c r="F15" s="69">
        <f t="shared" si="21"/>
        <v>608.49999999999909</v>
      </c>
      <c r="G15" s="69">
        <f t="shared" si="21"/>
        <v>923.400000000001</v>
      </c>
      <c r="H15" s="69">
        <f t="shared" ref="H15" si="22">H13-H14</f>
        <v>1149.127499999998</v>
      </c>
      <c r="I15" s="69">
        <f t="shared" ref="I15" si="23">I13-I14</f>
        <v>1753.196459999999</v>
      </c>
      <c r="J15" s="69">
        <f t="shared" ref="J15" si="24">J13-J14</f>
        <v>1977.4570614000033</v>
      </c>
      <c r="K15" s="69">
        <f t="shared" ref="K15" si="25">K13-K14</f>
        <v>2715.3159697470028</v>
      </c>
      <c r="L15" s="69">
        <f t="shared" ref="L15" si="26">L13-L14</f>
        <v>2991.6282873267619</v>
      </c>
      <c r="M15" s="69">
        <f t="shared" ref="M15" si="27">M13-M14</f>
        <v>3865.5646746433185</v>
      </c>
    </row>
    <row r="16" spans="1:15" s="24" customFormat="1" x14ac:dyDescent="0.3">
      <c r="B16" s="54" t="s">
        <v>57</v>
      </c>
      <c r="C16" s="91">
        <f>Assumptions!C40</f>
        <v>200.19</v>
      </c>
      <c r="D16" s="91">
        <f>Assumptions!D40</f>
        <v>104.41</v>
      </c>
      <c r="E16" s="91">
        <f>Assumptions!E40</f>
        <v>-21.92</v>
      </c>
      <c r="F16" s="91">
        <f>Assumptions!F40</f>
        <v>-47.3</v>
      </c>
      <c r="G16" s="91">
        <f>Assumptions!G40</f>
        <v>138</v>
      </c>
      <c r="H16" s="67">
        <f>H15*Assumptions!H42</f>
        <v>287.2818749999995</v>
      </c>
      <c r="I16" s="67">
        <f>I15*Assumptions!I42</f>
        <v>438.29911499999974</v>
      </c>
      <c r="J16" s="67">
        <f>J15*Assumptions!J42</f>
        <v>494.36426535000084</v>
      </c>
      <c r="K16" s="67">
        <f>K15*Assumptions!K42</f>
        <v>678.8289924367507</v>
      </c>
      <c r="L16" s="67">
        <f>L15*Assumptions!L42</f>
        <v>747.90707183169047</v>
      </c>
      <c r="M16" s="67">
        <f>M15*Assumptions!M42</f>
        <v>966.39116866082963</v>
      </c>
    </row>
    <row r="17" spans="2:15" s="24" customFormat="1" x14ac:dyDescent="0.3">
      <c r="B17" s="55" t="s">
        <v>72</v>
      </c>
      <c r="C17" s="69">
        <f>C15-C16</f>
        <v>71.96000000000214</v>
      </c>
      <c r="D17" s="69">
        <f t="shared" ref="D17:G17" si="28">D15-D16</f>
        <v>-5535.35</v>
      </c>
      <c r="E17" s="69">
        <f t="shared" si="28"/>
        <v>80.970000000004276</v>
      </c>
      <c r="F17" s="69">
        <f t="shared" si="28"/>
        <v>655.79999999999905</v>
      </c>
      <c r="G17" s="69">
        <f t="shared" si="28"/>
        <v>785.400000000001</v>
      </c>
      <c r="H17" s="69">
        <f t="shared" ref="H17" si="29">H15-H16</f>
        <v>861.84562499999856</v>
      </c>
      <c r="I17" s="69">
        <f t="shared" ref="I17" si="30">I15-I16</f>
        <v>1314.8973449999992</v>
      </c>
      <c r="J17" s="69">
        <f t="shared" ref="J17" si="31">J15-J16</f>
        <v>1483.0927960500026</v>
      </c>
      <c r="K17" s="69">
        <f t="shared" ref="K17" si="32">K15-K16</f>
        <v>2036.4869773102521</v>
      </c>
      <c r="L17" s="69">
        <f t="shared" ref="L17" si="33">L15-L16</f>
        <v>2243.7212154950712</v>
      </c>
      <c r="M17" s="69">
        <f t="shared" ref="M17" si="34">M15-M16</f>
        <v>2899.1735059824887</v>
      </c>
    </row>
    <row r="18" spans="2:15" x14ac:dyDescent="0.3">
      <c r="B18" s="6"/>
      <c r="C18" s="22"/>
      <c r="D18" s="22"/>
      <c r="E18" s="22"/>
      <c r="F18" s="22"/>
      <c r="G18" s="22"/>
      <c r="H18" s="22"/>
      <c r="I18" s="22"/>
      <c r="J18" s="22"/>
      <c r="K18" s="22"/>
      <c r="L18" s="22"/>
      <c r="M18" s="22"/>
      <c r="O18" s="26"/>
    </row>
    <row r="19" spans="2:15" x14ac:dyDescent="0.3">
      <c r="B19" s="6"/>
      <c r="C19" s="22"/>
      <c r="D19" s="22"/>
      <c r="E19" s="22"/>
      <c r="F19" s="22"/>
      <c r="G19" s="22"/>
      <c r="H19" s="22"/>
      <c r="I19" s="22"/>
      <c r="J19" s="22"/>
      <c r="K19" s="22"/>
      <c r="L19" s="22"/>
      <c r="M19" s="22"/>
    </row>
    <row r="20" spans="2:15" x14ac:dyDescent="0.3">
      <c r="B20" s="6"/>
      <c r="C20" s="8"/>
      <c r="D20" s="8"/>
      <c r="E20" s="8"/>
      <c r="F20" s="8"/>
      <c r="G20" s="8"/>
      <c r="H20" s="8"/>
      <c r="I20" s="8"/>
      <c r="J20" s="8"/>
      <c r="K20" s="8"/>
      <c r="L20" s="8"/>
      <c r="M20" s="8"/>
    </row>
    <row r="21" spans="2:15" x14ac:dyDescent="0.3">
      <c r="B21" s="6"/>
      <c r="C21" s="8"/>
      <c r="D21" s="8"/>
      <c r="E21" s="8"/>
      <c r="F21" s="8"/>
      <c r="G21" s="8"/>
      <c r="H21" s="8"/>
      <c r="I21" s="8"/>
      <c r="J21" s="8"/>
      <c r="K21" s="8"/>
      <c r="L21" s="8"/>
      <c r="M21" s="8"/>
    </row>
    <row r="22" spans="2:15" x14ac:dyDescent="0.3">
      <c r="B22" s="6"/>
      <c r="C22" s="8"/>
      <c r="D22" s="8"/>
      <c r="E22" s="8"/>
      <c r="F22" s="8"/>
      <c r="G22" s="8"/>
      <c r="H22" s="8"/>
      <c r="I22" s="8"/>
      <c r="J22" s="8"/>
      <c r="K22" s="8"/>
      <c r="L22" s="8"/>
      <c r="M22" s="8"/>
      <c r="O22" s="26"/>
    </row>
    <row r="23" spans="2:15" x14ac:dyDescent="0.3">
      <c r="B23" s="6"/>
      <c r="C23" s="8"/>
      <c r="D23" s="8"/>
      <c r="E23" s="8"/>
      <c r="F23" s="8"/>
      <c r="G23" s="8"/>
      <c r="H23" s="8"/>
      <c r="I23" s="8"/>
      <c r="J23" s="8"/>
      <c r="K23" s="8"/>
      <c r="L23" s="8"/>
      <c r="M23" s="8"/>
    </row>
    <row r="24" spans="2:15" x14ac:dyDescent="0.3">
      <c r="B24" s="6"/>
      <c r="C24" s="8"/>
      <c r="D24" s="8"/>
      <c r="E24" s="8"/>
      <c r="F24" s="8"/>
      <c r="G24" s="8"/>
      <c r="H24" s="8"/>
      <c r="I24" s="8"/>
      <c r="J24" s="8"/>
      <c r="K24" s="8"/>
      <c r="L24" s="8"/>
      <c r="M24" s="8"/>
    </row>
    <row r="25" spans="2:15" x14ac:dyDescent="0.3">
      <c r="B25" s="6"/>
      <c r="C25" s="22"/>
      <c r="D25" s="22"/>
      <c r="E25" s="22"/>
      <c r="F25" s="22"/>
      <c r="G25" s="22"/>
      <c r="H25" s="22"/>
      <c r="I25" s="22"/>
      <c r="J25" s="22"/>
      <c r="K25" s="22"/>
      <c r="L25" s="22"/>
      <c r="M25" s="22"/>
    </row>
    <row r="26" spans="2:15" x14ac:dyDescent="0.3">
      <c r="O26" s="26"/>
    </row>
    <row r="28" spans="2:15" x14ac:dyDescent="0.3">
      <c r="C28" s="27"/>
      <c r="D28" s="27"/>
      <c r="E28" s="27"/>
      <c r="F28" s="27"/>
      <c r="G28" s="27"/>
    </row>
  </sheetData>
  <mergeCells count="3">
    <mergeCell ref="C3:G3"/>
    <mergeCell ref="H3:M3"/>
    <mergeCell ref="B1:M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B77D0-5E34-4FE0-AF1F-E72D3FF43233}">
  <dimension ref="A1:M66"/>
  <sheetViews>
    <sheetView showGridLines="0" workbookViewId="0"/>
  </sheetViews>
  <sheetFormatPr defaultRowHeight="14" x14ac:dyDescent="0.3"/>
  <cols>
    <col min="1" max="1" width="1.6328125" style="23" customWidth="1"/>
    <col min="2" max="2" width="40.6328125" style="23" customWidth="1"/>
    <col min="3" max="13" width="11.36328125" style="8" customWidth="1"/>
    <col min="14" max="16384" width="8.7265625" style="23"/>
  </cols>
  <sheetData>
    <row r="1" spans="1:13" ht="25" customHeight="1" x14ac:dyDescent="0.3">
      <c r="A1" s="24"/>
      <c r="B1" s="96" t="s">
        <v>4</v>
      </c>
      <c r="C1" s="96"/>
      <c r="D1" s="96"/>
      <c r="E1" s="96"/>
      <c r="F1" s="96"/>
      <c r="G1" s="96"/>
      <c r="H1" s="96"/>
      <c r="I1" s="96"/>
      <c r="J1" s="96"/>
      <c r="K1" s="96"/>
      <c r="L1" s="96"/>
      <c r="M1" s="96"/>
    </row>
    <row r="2" spans="1:13" x14ac:dyDescent="0.3">
      <c r="A2" s="24"/>
      <c r="B2" s="8"/>
      <c r="M2" s="52" t="s">
        <v>7</v>
      </c>
    </row>
    <row r="3" spans="1:13" x14ac:dyDescent="0.3">
      <c r="A3" s="24"/>
      <c r="B3" s="8"/>
      <c r="C3" s="95" t="s">
        <v>0</v>
      </c>
      <c r="D3" s="95"/>
      <c r="E3" s="95"/>
      <c r="F3" s="95"/>
      <c r="G3" s="95"/>
      <c r="H3" s="95" t="s">
        <v>1</v>
      </c>
      <c r="I3" s="95"/>
      <c r="J3" s="95"/>
      <c r="K3" s="95"/>
      <c r="L3" s="95"/>
      <c r="M3" s="95"/>
    </row>
    <row r="4" spans="1:13" x14ac:dyDescent="0.3">
      <c r="A4" s="24"/>
      <c r="B4" s="12" t="s">
        <v>8</v>
      </c>
      <c r="C4" s="10">
        <v>2021</v>
      </c>
      <c r="D4" s="10">
        <v>2022</v>
      </c>
      <c r="E4" s="10">
        <v>2023</v>
      </c>
      <c r="F4" s="10">
        <v>2024</v>
      </c>
      <c r="G4" s="10">
        <v>2025</v>
      </c>
      <c r="H4" s="10">
        <v>2026</v>
      </c>
      <c r="I4" s="10">
        <v>2027</v>
      </c>
      <c r="J4" s="10">
        <v>2028</v>
      </c>
      <c r="K4" s="10">
        <v>2029</v>
      </c>
      <c r="L4" s="10">
        <v>2030</v>
      </c>
      <c r="M4" s="10">
        <v>2031</v>
      </c>
    </row>
    <row r="5" spans="1:13" x14ac:dyDescent="0.3">
      <c r="A5" s="24"/>
      <c r="B5" s="113" t="s">
        <v>18</v>
      </c>
      <c r="C5" s="113"/>
      <c r="D5" s="113"/>
      <c r="E5" s="113"/>
      <c r="F5" s="113"/>
      <c r="G5" s="113"/>
      <c r="H5" s="113"/>
      <c r="I5" s="113"/>
      <c r="J5" s="113"/>
      <c r="K5" s="113"/>
      <c r="L5" s="113"/>
      <c r="M5" s="113"/>
    </row>
    <row r="6" spans="1:13" x14ac:dyDescent="0.3">
      <c r="A6" s="24"/>
      <c r="B6" s="114" t="s">
        <v>101</v>
      </c>
      <c r="C6" s="114"/>
      <c r="D6" s="114"/>
      <c r="E6" s="114"/>
      <c r="F6" s="114"/>
      <c r="G6" s="114"/>
      <c r="H6" s="114"/>
      <c r="I6" s="114"/>
      <c r="J6" s="114"/>
      <c r="K6" s="114"/>
      <c r="L6" s="114"/>
      <c r="M6" s="114"/>
    </row>
    <row r="7" spans="1:13" x14ac:dyDescent="0.3">
      <c r="A7" s="24"/>
      <c r="B7" s="37" t="s">
        <v>100</v>
      </c>
      <c r="C7" s="84">
        <v>4310.6099999999997</v>
      </c>
      <c r="D7" s="84">
        <v>3932.59</v>
      </c>
      <c r="E7" s="84">
        <v>3602.83</v>
      </c>
      <c r="F7" s="84">
        <v>3552.8</v>
      </c>
      <c r="G7" s="84">
        <v>4485.5</v>
      </c>
      <c r="H7" s="91">
        <f>Assumptions!H63</f>
        <v>4863.0431000000008</v>
      </c>
      <c r="I7" s="91">
        <f>Assumptions!I63</f>
        <v>5278.3405100000009</v>
      </c>
      <c r="J7" s="91">
        <f>Assumptions!J63</f>
        <v>5731.0146869000018</v>
      </c>
      <c r="K7" s="91">
        <f>Assumptions!K63</f>
        <v>6224.4295397210017</v>
      </c>
      <c r="L7" s="91">
        <f>Assumptions!L63</f>
        <v>6757.3175807676816</v>
      </c>
      <c r="M7" s="91">
        <f>Assumptions!M63</f>
        <v>7332.8366650980961</v>
      </c>
    </row>
    <row r="8" spans="1:13" s="24" customFormat="1" x14ac:dyDescent="0.3">
      <c r="B8" s="37" t="s">
        <v>99</v>
      </c>
      <c r="C8" s="84">
        <v>19.43</v>
      </c>
      <c r="D8" s="84">
        <v>3.88</v>
      </c>
      <c r="E8" s="84">
        <v>1.95</v>
      </c>
      <c r="F8" s="84">
        <v>9</v>
      </c>
      <c r="G8" s="84">
        <v>19.8</v>
      </c>
      <c r="H8" s="84">
        <v>19.8</v>
      </c>
      <c r="I8" s="84">
        <v>19.8</v>
      </c>
      <c r="J8" s="84">
        <v>19.8</v>
      </c>
      <c r="K8" s="84">
        <v>19.8</v>
      </c>
      <c r="L8" s="84">
        <v>19.8</v>
      </c>
      <c r="M8" s="84">
        <v>19.8</v>
      </c>
    </row>
    <row r="9" spans="1:13" s="24" customFormat="1" x14ac:dyDescent="0.3">
      <c r="B9" s="37" t="s">
        <v>98</v>
      </c>
      <c r="C9" s="84">
        <v>636.56000000000006</v>
      </c>
      <c r="D9" s="84">
        <v>932.49999999999989</v>
      </c>
      <c r="E9" s="84">
        <v>1783.5400000000002</v>
      </c>
      <c r="F9" s="84">
        <v>2302.5</v>
      </c>
      <c r="G9" s="84">
        <v>2240.8999999999996</v>
      </c>
      <c r="H9" s="84">
        <v>2240.8999999999996</v>
      </c>
      <c r="I9" s="84">
        <v>2240.8999999999996</v>
      </c>
      <c r="J9" s="84">
        <v>2240.8999999999996</v>
      </c>
      <c r="K9" s="84">
        <v>2240.8999999999996</v>
      </c>
      <c r="L9" s="84">
        <v>2240.8999999999996</v>
      </c>
      <c r="M9" s="84">
        <v>2240.8999999999996</v>
      </c>
    </row>
    <row r="10" spans="1:13" s="24" customFormat="1" x14ac:dyDescent="0.3">
      <c r="B10" s="39" t="s">
        <v>74</v>
      </c>
      <c r="C10" s="69">
        <f>SUM(C7:C9)</f>
        <v>4966.6000000000004</v>
      </c>
      <c r="D10" s="69">
        <f t="shared" ref="D10:G10" si="0">SUM(D7:D9)</f>
        <v>4868.97</v>
      </c>
      <c r="E10" s="69">
        <f t="shared" si="0"/>
        <v>5388.32</v>
      </c>
      <c r="F10" s="69">
        <f t="shared" si="0"/>
        <v>5864.3</v>
      </c>
      <c r="G10" s="69">
        <f t="shared" si="0"/>
        <v>6746.2</v>
      </c>
      <c r="H10" s="69">
        <f t="shared" ref="H10" si="1">SUM(H7:H9)</f>
        <v>7123.7431000000006</v>
      </c>
      <c r="I10" s="69">
        <f t="shared" ref="I10" si="2">SUM(I7:I9)</f>
        <v>7539.0405100000007</v>
      </c>
      <c r="J10" s="69">
        <f t="shared" ref="J10" si="3">SUM(J7:J9)</f>
        <v>7991.7146869000017</v>
      </c>
      <c r="K10" s="69">
        <f t="shared" ref="K10" si="4">SUM(K7:K9)</f>
        <v>8485.1295397210015</v>
      </c>
      <c r="L10" s="69">
        <f t="shared" ref="L10" si="5">SUM(L7:L9)</f>
        <v>9018.0175807676824</v>
      </c>
      <c r="M10" s="69">
        <f t="shared" ref="M10" si="6">SUM(M7:M9)</f>
        <v>9593.5366650980959</v>
      </c>
    </row>
    <row r="11" spans="1:13" s="24" customFormat="1" x14ac:dyDescent="0.3">
      <c r="B11" s="114" t="s">
        <v>97</v>
      </c>
      <c r="C11" s="114"/>
      <c r="D11" s="114"/>
      <c r="E11" s="114"/>
      <c r="F11" s="114"/>
      <c r="G11" s="114"/>
      <c r="H11" s="114"/>
      <c r="I11" s="114"/>
      <c r="J11" s="114"/>
      <c r="K11" s="114"/>
      <c r="L11" s="114"/>
      <c r="M11" s="114"/>
    </row>
    <row r="12" spans="1:13" s="24" customFormat="1" x14ac:dyDescent="0.3">
      <c r="B12" s="37" t="s">
        <v>20</v>
      </c>
      <c r="C12" s="91">
        <f>Assumptions!C48</f>
        <v>6947.85</v>
      </c>
      <c r="D12" s="91">
        <f>Assumptions!D48</f>
        <v>4787.3500000000004</v>
      </c>
      <c r="E12" s="91">
        <f>Assumptions!E48</f>
        <v>5735.5</v>
      </c>
      <c r="F12" s="91">
        <f>Assumptions!F48</f>
        <v>6153.2000000000007</v>
      </c>
      <c r="G12" s="91">
        <f>Assumptions!G48</f>
        <v>5779.5</v>
      </c>
      <c r="H12" s="91">
        <f>Assumptions!H48</f>
        <v>6594.0746917808228</v>
      </c>
      <c r="I12" s="91">
        <f>Assumptions!I48</f>
        <v>7156.7690654794533</v>
      </c>
      <c r="J12" s="91">
        <f>Assumptions!J48</f>
        <v>7709.1032427682212</v>
      </c>
      <c r="K12" s="91">
        <f>Assumptions!K48</f>
        <v>8289.3695273928042</v>
      </c>
      <c r="L12" s="91">
        <f>Assumptions!L48</f>
        <v>8845.9414813748936</v>
      </c>
      <c r="M12" s="91">
        <f>Assumptions!M48</f>
        <v>9422.7453368727638</v>
      </c>
    </row>
    <row r="13" spans="1:13" s="24" customFormat="1" x14ac:dyDescent="0.3">
      <c r="B13" s="37" t="s">
        <v>96</v>
      </c>
      <c r="C13" s="91">
        <f>Assumptions!C45</f>
        <v>1589.48</v>
      </c>
      <c r="D13" s="91">
        <f>Assumptions!D45</f>
        <v>1253.07</v>
      </c>
      <c r="E13" s="91">
        <f>Assumptions!E45</f>
        <v>1682.34</v>
      </c>
      <c r="F13" s="91">
        <f>Assumptions!F45</f>
        <v>2442.6</v>
      </c>
      <c r="G13" s="91">
        <f>Assumptions!G45</f>
        <v>2595.1</v>
      </c>
      <c r="H13" s="91">
        <f>Assumptions!H45</f>
        <v>2896.2210410958905</v>
      </c>
      <c r="I13" s="91">
        <f>Assumptions!I45</f>
        <v>3185.8431452054801</v>
      </c>
      <c r="J13" s="91">
        <f>Assumptions!J45</f>
        <v>3348.5487058356175</v>
      </c>
      <c r="K13" s="91">
        <f>Assumptions!K45</f>
        <v>3649.9180893608236</v>
      </c>
      <c r="L13" s="91">
        <f>Assumptions!L45</f>
        <v>3795.914812935257</v>
      </c>
      <c r="M13" s="91">
        <f>Assumptions!M45</f>
        <v>3941.91153650969</v>
      </c>
    </row>
    <row r="14" spans="1:13" s="24" customFormat="1" x14ac:dyDescent="0.3">
      <c r="B14" s="37" t="s">
        <v>95</v>
      </c>
      <c r="C14" s="84">
        <v>69.45</v>
      </c>
      <c r="D14" s="84">
        <v>796.73</v>
      </c>
      <c r="E14" s="84">
        <v>137.99</v>
      </c>
      <c r="F14" s="84">
        <v>105.60000000000001</v>
      </c>
      <c r="G14" s="84">
        <v>118.9</v>
      </c>
      <c r="H14" s="91">
        <f>'Cash Flow Statement'!H21</f>
        <v>-431.66333116438557</v>
      </c>
      <c r="I14" s="91">
        <f>'Cash Flow Statement'!I21</f>
        <v>-159.30212449315366</v>
      </c>
      <c r="J14" s="91">
        <f>'Cash Flow Statement'!J21</f>
        <v>321.94540449082035</v>
      </c>
      <c r="K14" s="91">
        <f>'Cash Flow Statement'!K21</f>
        <v>1211.3436155042264</v>
      </c>
      <c r="L14" s="91">
        <f>'Cash Flow Statement'!L21</f>
        <v>2373.5535464762474</v>
      </c>
      <c r="M14" s="91">
        <f>'Cash Flow Statement'!M21</f>
        <v>4196.7895984045954</v>
      </c>
    </row>
    <row r="15" spans="1:13" s="24" customFormat="1" x14ac:dyDescent="0.3">
      <c r="B15" s="37" t="s">
        <v>102</v>
      </c>
      <c r="C15" s="84">
        <v>3251.91</v>
      </c>
      <c r="D15" s="84">
        <v>2244.15</v>
      </c>
      <c r="E15" s="84">
        <v>3731.8399999999997</v>
      </c>
      <c r="F15" s="84">
        <v>4343.2000000000007</v>
      </c>
      <c r="G15" s="84">
        <v>5086.7000000000007</v>
      </c>
      <c r="H15" s="84">
        <v>5086.7000000000007</v>
      </c>
      <c r="I15" s="84">
        <v>5086.7000000000007</v>
      </c>
      <c r="J15" s="84">
        <v>5086.7000000000007</v>
      </c>
      <c r="K15" s="84">
        <v>5086.7000000000007</v>
      </c>
      <c r="L15" s="84">
        <v>5086.7000000000007</v>
      </c>
      <c r="M15" s="84">
        <v>5086.7000000000007</v>
      </c>
    </row>
    <row r="16" spans="1:13" s="24" customFormat="1" x14ac:dyDescent="0.3">
      <c r="B16" s="39" t="s">
        <v>75</v>
      </c>
      <c r="C16" s="69">
        <f>SUM(C12:C15)</f>
        <v>11858.69</v>
      </c>
      <c r="D16" s="69">
        <f t="shared" ref="D16:G16" si="7">SUM(D12:D15)</f>
        <v>9081.2999999999993</v>
      </c>
      <c r="E16" s="69">
        <f t="shared" si="7"/>
        <v>11287.67</v>
      </c>
      <c r="F16" s="69">
        <f t="shared" si="7"/>
        <v>13044.600000000002</v>
      </c>
      <c r="G16" s="69">
        <f t="shared" si="7"/>
        <v>13580.2</v>
      </c>
      <c r="H16" s="69">
        <f t="shared" ref="H16" si="8">SUM(H12:H15)</f>
        <v>14145.332401712329</v>
      </c>
      <c r="I16" s="69">
        <f t="shared" ref="I16" si="9">SUM(I12:I15)</f>
        <v>15270.01008619178</v>
      </c>
      <c r="J16" s="69">
        <f t="shared" ref="J16" si="10">SUM(J12:J15)</f>
        <v>16466.297353094658</v>
      </c>
      <c r="K16" s="69">
        <f t="shared" ref="K16" si="11">SUM(K12:K15)</f>
        <v>18237.331232257853</v>
      </c>
      <c r="L16" s="69">
        <f t="shared" ref="L16" si="12">SUM(L12:L15)</f>
        <v>20102.109840786397</v>
      </c>
      <c r="M16" s="69">
        <f t="shared" ref="M16" si="13">SUM(M12:M15)</f>
        <v>22648.146471787051</v>
      </c>
    </row>
    <row r="17" spans="2:13" s="24" customFormat="1" x14ac:dyDescent="0.3">
      <c r="B17" s="53" t="s">
        <v>21</v>
      </c>
      <c r="C17" s="70">
        <f>C10+C16</f>
        <v>16825.29</v>
      </c>
      <c r="D17" s="70">
        <f t="shared" ref="D17:G17" si="14">D10+D16</f>
        <v>13950.27</v>
      </c>
      <c r="E17" s="70">
        <f t="shared" si="14"/>
        <v>16675.989999999998</v>
      </c>
      <c r="F17" s="70">
        <f t="shared" si="14"/>
        <v>18908.900000000001</v>
      </c>
      <c r="G17" s="70">
        <f t="shared" si="14"/>
        <v>20326.400000000001</v>
      </c>
      <c r="H17" s="70">
        <f t="shared" ref="H17" si="15">H10+H16</f>
        <v>21269.07550171233</v>
      </c>
      <c r="I17" s="70">
        <f t="shared" ref="I17" si="16">I10+I16</f>
        <v>22809.050596191781</v>
      </c>
      <c r="J17" s="70">
        <f t="shared" ref="J17" si="17">J10+J16</f>
        <v>24458.012039994661</v>
      </c>
      <c r="K17" s="70">
        <f t="shared" ref="K17" si="18">K10+K16</f>
        <v>26722.460771978855</v>
      </c>
      <c r="L17" s="70">
        <f t="shared" ref="L17" si="19">L10+L16</f>
        <v>29120.12742155408</v>
      </c>
      <c r="M17" s="70">
        <f t="shared" ref="M17" si="20">M10+M16</f>
        <v>32241.683136885149</v>
      </c>
    </row>
    <row r="18" spans="2:13" s="24" customFormat="1" x14ac:dyDescent="0.3">
      <c r="B18" s="28"/>
      <c r="C18" s="29"/>
      <c r="D18" s="29"/>
      <c r="E18" s="29"/>
      <c r="F18" s="29"/>
      <c r="G18" s="29"/>
      <c r="H18" s="29"/>
      <c r="I18" s="29"/>
      <c r="J18" s="29"/>
      <c r="K18" s="29"/>
      <c r="L18" s="29"/>
      <c r="M18" s="29"/>
    </row>
    <row r="19" spans="2:13" s="24" customFormat="1" x14ac:dyDescent="0.3">
      <c r="B19" s="113" t="s">
        <v>22</v>
      </c>
      <c r="C19" s="113"/>
      <c r="D19" s="113"/>
      <c r="E19" s="113"/>
      <c r="F19" s="113"/>
      <c r="G19" s="113"/>
      <c r="H19" s="113"/>
      <c r="I19" s="113"/>
      <c r="J19" s="113"/>
      <c r="K19" s="113"/>
      <c r="L19" s="113"/>
      <c r="M19" s="113"/>
    </row>
    <row r="20" spans="2:13" s="24" customFormat="1" x14ac:dyDescent="0.3">
      <c r="B20" s="114" t="s">
        <v>23</v>
      </c>
      <c r="C20" s="114"/>
      <c r="D20" s="114"/>
      <c r="E20" s="114"/>
      <c r="F20" s="114"/>
      <c r="G20" s="114"/>
      <c r="H20" s="114"/>
      <c r="I20" s="114"/>
      <c r="J20" s="114"/>
      <c r="K20" s="114"/>
      <c r="L20" s="114"/>
      <c r="M20" s="114"/>
    </row>
    <row r="21" spans="2:13" s="24" customFormat="1" x14ac:dyDescent="0.3">
      <c r="B21" s="37" t="s">
        <v>103</v>
      </c>
      <c r="C21" s="84">
        <v>839.39</v>
      </c>
      <c r="D21" s="84">
        <v>952</v>
      </c>
      <c r="E21" s="84">
        <v>1172</v>
      </c>
      <c r="F21" s="84">
        <f>119.2*10</f>
        <v>1192</v>
      </c>
      <c r="G21" s="84">
        <f>119.2*10</f>
        <v>1192</v>
      </c>
      <c r="H21" s="84">
        <f t="shared" ref="H21:M21" si="21">119.2*10</f>
        <v>1192</v>
      </c>
      <c r="I21" s="84">
        <f t="shared" si="21"/>
        <v>1192</v>
      </c>
      <c r="J21" s="84">
        <f t="shared" si="21"/>
        <v>1192</v>
      </c>
      <c r="K21" s="84">
        <f t="shared" si="21"/>
        <v>1192</v>
      </c>
      <c r="L21" s="84">
        <f t="shared" si="21"/>
        <v>1192</v>
      </c>
      <c r="M21" s="84">
        <f t="shared" si="21"/>
        <v>1192</v>
      </c>
    </row>
    <row r="22" spans="2:13" s="24" customFormat="1" x14ac:dyDescent="0.3">
      <c r="B22" s="37" t="s">
        <v>104</v>
      </c>
      <c r="C22" s="84">
        <v>8442.0300000000007</v>
      </c>
      <c r="D22" s="84">
        <v>4588.29</v>
      </c>
      <c r="E22" s="84">
        <v>6907.09</v>
      </c>
      <c r="F22" s="84">
        <f>792.91*10</f>
        <v>7929.0999999999995</v>
      </c>
      <c r="G22" s="84">
        <f>904.21*10</f>
        <v>9042.1</v>
      </c>
      <c r="H22" s="67">
        <f>G22+'Income Statement'!H17</f>
        <v>9903.9456249999985</v>
      </c>
      <c r="I22" s="67">
        <f>H22+'Income Statement'!I17</f>
        <v>11218.842969999998</v>
      </c>
      <c r="J22" s="67">
        <f>I22+'Income Statement'!J17</f>
        <v>12701.935766050001</v>
      </c>
      <c r="K22" s="67">
        <f>J22+'Income Statement'!K17</f>
        <v>14738.422743360254</v>
      </c>
      <c r="L22" s="67">
        <f>K22+'Income Statement'!L17</f>
        <v>16982.143958855326</v>
      </c>
      <c r="M22" s="67">
        <f>L22+'Income Statement'!M17</f>
        <v>19881.317464837815</v>
      </c>
    </row>
    <row r="23" spans="2:13" s="24" customFormat="1" x14ac:dyDescent="0.3">
      <c r="B23" s="39" t="s">
        <v>24</v>
      </c>
      <c r="C23" s="69">
        <f>C22+C21</f>
        <v>9281.42</v>
      </c>
      <c r="D23" s="69">
        <f>D22+D21</f>
        <v>5540.29</v>
      </c>
      <c r="E23" s="69">
        <f>E22+E21</f>
        <v>8079.09</v>
      </c>
      <c r="F23" s="69">
        <f>F22+F21</f>
        <v>9121.0999999999985</v>
      </c>
      <c r="G23" s="69">
        <f>G22+G21</f>
        <v>10234.1</v>
      </c>
      <c r="H23" s="69">
        <f t="shared" ref="H23:M23" si="22">H22+H21</f>
        <v>11095.945624999998</v>
      </c>
      <c r="I23" s="69">
        <f t="shared" si="22"/>
        <v>12410.842969999998</v>
      </c>
      <c r="J23" s="69">
        <f t="shared" si="22"/>
        <v>13893.935766050001</v>
      </c>
      <c r="K23" s="69">
        <f t="shared" si="22"/>
        <v>15930.422743360254</v>
      </c>
      <c r="L23" s="69">
        <f t="shared" si="22"/>
        <v>18174.143958855326</v>
      </c>
      <c r="M23" s="69">
        <f t="shared" si="22"/>
        <v>21073.317464837815</v>
      </c>
    </row>
    <row r="24" spans="2:13" s="24" customFormat="1" x14ac:dyDescent="0.3">
      <c r="B24" s="6"/>
      <c r="C24" s="21"/>
      <c r="D24" s="21"/>
      <c r="E24" s="21"/>
      <c r="F24" s="21"/>
      <c r="G24" s="21"/>
      <c r="H24" s="21"/>
      <c r="I24" s="21"/>
      <c r="J24" s="21"/>
      <c r="K24" s="21"/>
      <c r="L24" s="21"/>
      <c r="M24" s="21"/>
    </row>
    <row r="25" spans="2:13" s="24" customFormat="1" x14ac:dyDescent="0.3">
      <c r="B25" s="113" t="s">
        <v>168</v>
      </c>
      <c r="C25" s="113"/>
      <c r="D25" s="113"/>
      <c r="E25" s="113"/>
      <c r="F25" s="113"/>
      <c r="G25" s="113"/>
      <c r="H25" s="113"/>
      <c r="I25" s="113"/>
      <c r="J25" s="113"/>
      <c r="K25" s="113"/>
      <c r="L25" s="113"/>
      <c r="M25" s="113"/>
    </row>
    <row r="26" spans="2:13" s="24" customFormat="1" x14ac:dyDescent="0.3">
      <c r="B26" s="114" t="s">
        <v>105</v>
      </c>
      <c r="C26" s="114"/>
      <c r="D26" s="114"/>
      <c r="E26" s="114"/>
      <c r="F26" s="114"/>
      <c r="G26" s="114"/>
      <c r="H26" s="114"/>
      <c r="I26" s="114"/>
      <c r="J26" s="114"/>
      <c r="K26" s="114"/>
      <c r="L26" s="114"/>
      <c r="M26" s="114"/>
    </row>
    <row r="27" spans="2:13" s="24" customFormat="1" x14ac:dyDescent="0.3">
      <c r="B27" s="37" t="s">
        <v>78</v>
      </c>
      <c r="C27" s="91">
        <f>Assumptions!C29</f>
        <v>333.19</v>
      </c>
      <c r="D27" s="91">
        <f>Assumptions!D29</f>
        <v>2596.3000000000002</v>
      </c>
      <c r="E27" s="91">
        <f>Assumptions!E29</f>
        <v>2552.33</v>
      </c>
      <c r="F27" s="91">
        <f>Assumptions!F29</f>
        <v>2444.4</v>
      </c>
      <c r="G27" s="91">
        <f>Assumptions!G29</f>
        <v>2523.6999999999998</v>
      </c>
      <c r="H27" s="91">
        <f>Assumptions!H29</f>
        <v>2523.6999999999998</v>
      </c>
      <c r="I27" s="91">
        <f>Assumptions!I29</f>
        <v>2523.6999999999998</v>
      </c>
      <c r="J27" s="91">
        <f>Assumptions!J29</f>
        <v>2523.6999999999998</v>
      </c>
      <c r="K27" s="91">
        <f>Assumptions!K29</f>
        <v>2523.6999999999998</v>
      </c>
      <c r="L27" s="91">
        <f>Assumptions!L29</f>
        <v>2523.6999999999998</v>
      </c>
      <c r="M27" s="91">
        <f>Assumptions!M29</f>
        <v>2523.6999999999998</v>
      </c>
    </row>
    <row r="28" spans="2:13" s="24" customFormat="1" x14ac:dyDescent="0.3">
      <c r="B28" s="37" t="s">
        <v>77</v>
      </c>
      <c r="C28" s="84">
        <v>127.92</v>
      </c>
      <c r="D28" s="84">
        <v>180.57</v>
      </c>
      <c r="E28" s="84">
        <v>160.25</v>
      </c>
      <c r="F28" s="84">
        <v>335.90000000000003</v>
      </c>
      <c r="G28" s="84">
        <v>461.2</v>
      </c>
      <c r="H28" s="84">
        <v>461.2</v>
      </c>
      <c r="I28" s="84">
        <v>461.2</v>
      </c>
      <c r="J28" s="84">
        <v>461.2</v>
      </c>
      <c r="K28" s="84">
        <v>461.2</v>
      </c>
      <c r="L28" s="84">
        <v>461.2</v>
      </c>
      <c r="M28" s="84">
        <v>461.2</v>
      </c>
    </row>
    <row r="29" spans="2:13" s="24" customFormat="1" x14ac:dyDescent="0.3">
      <c r="B29" s="54" t="s">
        <v>82</v>
      </c>
      <c r="C29" s="91">
        <f>Assumptions!C54</f>
        <v>231.19</v>
      </c>
      <c r="D29" s="91">
        <f>Assumptions!D54</f>
        <v>436.47</v>
      </c>
      <c r="E29" s="91">
        <f>Assumptions!E54</f>
        <v>599.39</v>
      </c>
      <c r="F29" s="91">
        <f>Assumptions!F54</f>
        <v>485</v>
      </c>
      <c r="G29" s="91">
        <f>Assumptions!G54</f>
        <v>303.10000000000002</v>
      </c>
      <c r="H29" s="91">
        <f>Assumptions!H54</f>
        <v>303.10000000000002</v>
      </c>
      <c r="I29" s="91">
        <f>Assumptions!I54</f>
        <v>303.10000000000002</v>
      </c>
      <c r="J29" s="91">
        <f>Assumptions!J54</f>
        <v>303.10000000000002</v>
      </c>
      <c r="K29" s="91">
        <f>Assumptions!K54</f>
        <v>303.10000000000002</v>
      </c>
      <c r="L29" s="91">
        <f>Assumptions!L54</f>
        <v>303.10000000000002</v>
      </c>
      <c r="M29" s="91">
        <f>Assumptions!M54</f>
        <v>303.10000000000002</v>
      </c>
    </row>
    <row r="30" spans="2:13" s="24" customFormat="1" x14ac:dyDescent="0.3">
      <c r="B30" s="39" t="s">
        <v>25</v>
      </c>
      <c r="C30" s="69">
        <f>SUM(C27:C29)</f>
        <v>692.3</v>
      </c>
      <c r="D30" s="69">
        <f t="shared" ref="D30:G30" si="23">SUM(D27:D29)</f>
        <v>3213.34</v>
      </c>
      <c r="E30" s="69">
        <f t="shared" si="23"/>
        <v>3311.97</v>
      </c>
      <c r="F30" s="69">
        <f t="shared" si="23"/>
        <v>3265.3</v>
      </c>
      <c r="G30" s="69">
        <f t="shared" si="23"/>
        <v>3287.9999999999995</v>
      </c>
      <c r="H30" s="69">
        <f t="shared" ref="H30" si="24">SUM(H27:H29)</f>
        <v>3287.9999999999995</v>
      </c>
      <c r="I30" s="69">
        <f t="shared" ref="I30" si="25">SUM(I27:I29)</f>
        <v>3287.9999999999995</v>
      </c>
      <c r="J30" s="69">
        <f t="shared" ref="J30" si="26">SUM(J27:J29)</f>
        <v>3287.9999999999995</v>
      </c>
      <c r="K30" s="69">
        <f t="shared" ref="K30" si="27">SUM(K27:K29)</f>
        <v>3287.9999999999995</v>
      </c>
      <c r="L30" s="69">
        <f t="shared" ref="L30" si="28">SUM(L27:L29)</f>
        <v>3287.9999999999995</v>
      </c>
      <c r="M30" s="69">
        <f t="shared" ref="M30" si="29">SUM(M27:M29)</f>
        <v>3287.9999999999995</v>
      </c>
    </row>
    <row r="31" spans="2:13" s="24" customFormat="1" x14ac:dyDescent="0.3">
      <c r="B31" s="114" t="s">
        <v>26</v>
      </c>
      <c r="C31" s="114"/>
      <c r="D31" s="114"/>
      <c r="E31" s="114"/>
      <c r="F31" s="114"/>
      <c r="G31" s="114"/>
      <c r="H31" s="114"/>
      <c r="I31" s="114"/>
      <c r="J31" s="114"/>
      <c r="K31" s="114"/>
      <c r="L31" s="114"/>
      <c r="M31" s="114"/>
    </row>
    <row r="32" spans="2:13" s="24" customFormat="1" x14ac:dyDescent="0.3">
      <c r="B32" s="37" t="s">
        <v>78</v>
      </c>
      <c r="C32" s="91">
        <f>Assumptions!C30</f>
        <v>3477.42</v>
      </c>
      <c r="D32" s="91">
        <f>Assumptions!D30</f>
        <v>2580.5100000000002</v>
      </c>
      <c r="E32" s="91">
        <f>Assumptions!E30</f>
        <v>3342.13</v>
      </c>
      <c r="F32" s="91">
        <f>Assumptions!F30</f>
        <v>3391.7000000000003</v>
      </c>
      <c r="G32" s="91">
        <f>Assumptions!G30</f>
        <v>3631.2</v>
      </c>
      <c r="H32" s="91">
        <f>Assumptions!H30</f>
        <v>3631.2</v>
      </c>
      <c r="I32" s="91">
        <f>Assumptions!I30</f>
        <v>3631.2</v>
      </c>
      <c r="J32" s="91">
        <f>Assumptions!J30</f>
        <v>3631.2</v>
      </c>
      <c r="K32" s="91">
        <f>Assumptions!K30</f>
        <v>3631.2</v>
      </c>
      <c r="L32" s="91">
        <f>Assumptions!L30</f>
        <v>3631.2</v>
      </c>
      <c r="M32" s="91">
        <f>Assumptions!M30</f>
        <v>3631.2</v>
      </c>
    </row>
    <row r="33" spans="1:13" s="24" customFormat="1" x14ac:dyDescent="0.3">
      <c r="B33" s="37" t="s">
        <v>63</v>
      </c>
      <c r="C33" s="91">
        <f>Assumptions!C51</f>
        <v>3041.2999999999997</v>
      </c>
      <c r="D33" s="91">
        <f>Assumptions!D51</f>
        <v>2258.59</v>
      </c>
      <c r="E33" s="91">
        <f>Assumptions!E51</f>
        <v>1525.8400000000001</v>
      </c>
      <c r="F33" s="91">
        <f>Assumptions!F51</f>
        <v>2494.4</v>
      </c>
      <c r="G33" s="91">
        <f>Assumptions!G51</f>
        <v>2556.7999999999997</v>
      </c>
      <c r="H33" s="91">
        <f>Assumptions!H51</f>
        <v>2637.629876712329</v>
      </c>
      <c r="I33" s="91">
        <f>Assumptions!I51</f>
        <v>2862.7076261917814</v>
      </c>
      <c r="J33" s="91">
        <f>Assumptions!J51</f>
        <v>3028.5762739446582</v>
      </c>
      <c r="K33" s="91">
        <f>Assumptions!K51</f>
        <v>3256.5380286186014</v>
      </c>
      <c r="L33" s="91">
        <f>Assumptions!L51</f>
        <v>3410.483462698754</v>
      </c>
      <c r="M33" s="91">
        <f>Assumptions!M51</f>
        <v>3632.8656720473305</v>
      </c>
    </row>
    <row r="34" spans="1:13" s="24" customFormat="1" x14ac:dyDescent="0.3">
      <c r="B34" s="37" t="s">
        <v>76</v>
      </c>
      <c r="C34" s="84">
        <v>332.84999999999997</v>
      </c>
      <c r="D34" s="84">
        <v>357.54</v>
      </c>
      <c r="E34" s="84">
        <v>416.96000000000004</v>
      </c>
      <c r="F34" s="84">
        <v>636.4</v>
      </c>
      <c r="G34" s="84">
        <v>616.30000000000007</v>
      </c>
      <c r="H34" s="84">
        <v>616.30000000000007</v>
      </c>
      <c r="I34" s="84">
        <v>616.30000000000007</v>
      </c>
      <c r="J34" s="84">
        <v>616.30000000000007</v>
      </c>
      <c r="K34" s="84">
        <v>616.30000000000007</v>
      </c>
      <c r="L34" s="84">
        <v>616.30000000000007</v>
      </c>
      <c r="M34" s="84">
        <v>616.30000000000007</v>
      </c>
    </row>
    <row r="35" spans="1:13" s="24" customFormat="1" x14ac:dyDescent="0.3">
      <c r="B35" s="39" t="s">
        <v>27</v>
      </c>
      <c r="C35" s="69">
        <f>SUM(C32:C34)</f>
        <v>6851.57</v>
      </c>
      <c r="D35" s="69">
        <f t="shared" ref="D35:G35" si="30">SUM(D32:D34)</f>
        <v>5196.6400000000003</v>
      </c>
      <c r="E35" s="69">
        <f t="shared" si="30"/>
        <v>5284.93</v>
      </c>
      <c r="F35" s="69">
        <f t="shared" si="30"/>
        <v>6522.5</v>
      </c>
      <c r="G35" s="69">
        <f t="shared" si="30"/>
        <v>6804.3</v>
      </c>
      <c r="H35" s="69">
        <f t="shared" ref="H35" si="31">SUM(H32:H34)</f>
        <v>6885.129876712329</v>
      </c>
      <c r="I35" s="69">
        <f t="shared" ref="I35" si="32">SUM(I32:I34)</f>
        <v>7110.2076261917819</v>
      </c>
      <c r="J35" s="69">
        <f t="shared" ref="J35" si="33">SUM(J32:J34)</f>
        <v>7276.0762739446582</v>
      </c>
      <c r="K35" s="69">
        <f t="shared" ref="K35" si="34">SUM(K32:K34)</f>
        <v>7504.0380286186019</v>
      </c>
      <c r="L35" s="69">
        <f t="shared" ref="L35" si="35">SUM(L32:L34)</f>
        <v>7657.983462698754</v>
      </c>
      <c r="M35" s="69">
        <f t="shared" ref="M35" si="36">SUM(M32:M34)</f>
        <v>7880.3656720473309</v>
      </c>
    </row>
    <row r="36" spans="1:13" s="24" customFormat="1" x14ac:dyDescent="0.3">
      <c r="B36" s="39" t="s">
        <v>28</v>
      </c>
      <c r="C36" s="69">
        <f>C35+C30</f>
        <v>7543.87</v>
      </c>
      <c r="D36" s="69">
        <f>D35+D30</f>
        <v>8409.98</v>
      </c>
      <c r="E36" s="69">
        <f>E35+E30</f>
        <v>8596.9</v>
      </c>
      <c r="F36" s="69">
        <f>F35+F30</f>
        <v>9787.7999999999993</v>
      </c>
      <c r="G36" s="69">
        <f>G35+G30</f>
        <v>10092.299999999999</v>
      </c>
      <c r="H36" s="69">
        <f t="shared" ref="H36:M36" si="37">H35+H30</f>
        <v>10173.129876712328</v>
      </c>
      <c r="I36" s="69">
        <f t="shared" si="37"/>
        <v>10398.207626191781</v>
      </c>
      <c r="J36" s="69">
        <f t="shared" si="37"/>
        <v>10564.076273944658</v>
      </c>
      <c r="K36" s="69">
        <f t="shared" si="37"/>
        <v>10792.038028618601</v>
      </c>
      <c r="L36" s="69">
        <f t="shared" si="37"/>
        <v>10945.983462698754</v>
      </c>
      <c r="M36" s="69">
        <f t="shared" si="37"/>
        <v>11168.36567204733</v>
      </c>
    </row>
    <row r="37" spans="1:13" s="24" customFormat="1" x14ac:dyDescent="0.3">
      <c r="B37" s="39" t="s">
        <v>29</v>
      </c>
      <c r="C37" s="69">
        <f>C36+C23</f>
        <v>16825.29</v>
      </c>
      <c r="D37" s="69">
        <f>D36+D23</f>
        <v>13950.27</v>
      </c>
      <c r="E37" s="69">
        <f>E36+E23</f>
        <v>16675.989999999998</v>
      </c>
      <c r="F37" s="69">
        <f>F36+F23</f>
        <v>18908.899999999998</v>
      </c>
      <c r="G37" s="69">
        <f>G36+G23</f>
        <v>20326.400000000001</v>
      </c>
      <c r="H37" s="69">
        <f t="shared" ref="H37:M37" si="38">H36+H23</f>
        <v>21269.075501712327</v>
      </c>
      <c r="I37" s="69">
        <f t="shared" si="38"/>
        <v>22809.050596191781</v>
      </c>
      <c r="J37" s="69">
        <f t="shared" si="38"/>
        <v>24458.012039994661</v>
      </c>
      <c r="K37" s="69">
        <f t="shared" si="38"/>
        <v>26722.460771978855</v>
      </c>
      <c r="L37" s="69">
        <f t="shared" si="38"/>
        <v>29120.12742155408</v>
      </c>
      <c r="M37" s="69">
        <f t="shared" si="38"/>
        <v>32241.683136885145</v>
      </c>
    </row>
    <row r="38" spans="1:13" s="24" customFormat="1" x14ac:dyDescent="0.3">
      <c r="B38" s="6"/>
      <c r="C38" s="22"/>
      <c r="D38" s="8"/>
      <c r="E38" s="8"/>
      <c r="F38" s="8"/>
      <c r="G38" s="8"/>
      <c r="H38" s="8"/>
      <c r="I38" s="8"/>
      <c r="J38" s="8"/>
      <c r="K38" s="8"/>
      <c r="L38" s="8"/>
      <c r="M38" s="8"/>
    </row>
    <row r="39" spans="1:13" s="24" customFormat="1" x14ac:dyDescent="0.3">
      <c r="B39" s="39" t="s">
        <v>208</v>
      </c>
      <c r="C39" s="36" t="str">
        <f>IF(C17=C37,"BALANCED","ERROR")</f>
        <v>BALANCED</v>
      </c>
      <c r="D39" s="36" t="str">
        <f t="shared" ref="D39:M39" si="39">IF(D17=D37,"BALANCED","ERROR")</f>
        <v>BALANCED</v>
      </c>
      <c r="E39" s="36" t="str">
        <f t="shared" si="39"/>
        <v>BALANCED</v>
      </c>
      <c r="F39" s="36" t="str">
        <f t="shared" si="39"/>
        <v>BALANCED</v>
      </c>
      <c r="G39" s="36" t="str">
        <f t="shared" si="39"/>
        <v>BALANCED</v>
      </c>
      <c r="H39" s="36" t="str">
        <f t="shared" si="39"/>
        <v>BALANCED</v>
      </c>
      <c r="I39" s="36" t="str">
        <f t="shared" si="39"/>
        <v>BALANCED</v>
      </c>
      <c r="J39" s="36" t="str">
        <f t="shared" si="39"/>
        <v>BALANCED</v>
      </c>
      <c r="K39" s="36" t="str">
        <f t="shared" si="39"/>
        <v>BALANCED</v>
      </c>
      <c r="L39" s="36" t="str">
        <f t="shared" si="39"/>
        <v>BALANCED</v>
      </c>
      <c r="M39" s="36" t="str">
        <f t="shared" si="39"/>
        <v>BALANCED</v>
      </c>
    </row>
    <row r="40" spans="1:13" s="24" customFormat="1" x14ac:dyDescent="0.3">
      <c r="B40" s="37" t="s">
        <v>31</v>
      </c>
      <c r="C40" s="38">
        <f>C17-C37</f>
        <v>0</v>
      </c>
      <c r="D40" s="38">
        <f t="shared" ref="D40:G40" si="40">D17-D37</f>
        <v>0</v>
      </c>
      <c r="E40" s="38">
        <f t="shared" si="40"/>
        <v>0</v>
      </c>
      <c r="F40" s="38">
        <f t="shared" si="40"/>
        <v>0</v>
      </c>
      <c r="G40" s="38">
        <f t="shared" si="40"/>
        <v>0</v>
      </c>
      <c r="H40" s="38">
        <f t="shared" ref="H40:M40" si="41">H17-H37</f>
        <v>0</v>
      </c>
      <c r="I40" s="38">
        <f t="shared" si="41"/>
        <v>0</v>
      </c>
      <c r="J40" s="38">
        <f t="shared" si="41"/>
        <v>0</v>
      </c>
      <c r="K40" s="38">
        <f t="shared" si="41"/>
        <v>0</v>
      </c>
      <c r="L40" s="38">
        <f t="shared" si="41"/>
        <v>0</v>
      </c>
      <c r="M40" s="38">
        <f t="shared" si="41"/>
        <v>0</v>
      </c>
    </row>
    <row r="41" spans="1:13" s="24" customFormat="1" ht="17" x14ac:dyDescent="0.3">
      <c r="B41" s="6"/>
      <c r="C41" s="22"/>
      <c r="D41" s="22"/>
      <c r="E41" s="22"/>
      <c r="F41" s="8"/>
      <c r="G41" s="8"/>
      <c r="H41" s="8"/>
      <c r="I41" s="30"/>
      <c r="J41" s="8"/>
      <c r="K41" s="8"/>
      <c r="L41" s="8"/>
      <c r="M41" s="8"/>
    </row>
    <row r="42" spans="1:13" s="24" customFormat="1" x14ac:dyDescent="0.3">
      <c r="B42" s="23"/>
      <c r="C42" s="8"/>
      <c r="D42" s="8"/>
      <c r="E42" s="8"/>
      <c r="F42" s="8"/>
      <c r="G42" s="8"/>
      <c r="H42" s="8"/>
      <c r="I42" s="8"/>
      <c r="J42" s="8"/>
      <c r="K42" s="8"/>
      <c r="L42" s="8"/>
      <c r="M42" s="8"/>
    </row>
    <row r="43" spans="1:13" s="24" customFormat="1" x14ac:dyDescent="0.3">
      <c r="B43" s="23"/>
      <c r="C43" s="8"/>
      <c r="D43" s="8"/>
      <c r="E43" s="8"/>
      <c r="F43" s="8"/>
      <c r="G43" s="8"/>
      <c r="H43" s="8"/>
      <c r="I43" s="8"/>
      <c r="J43" s="8"/>
      <c r="K43" s="8"/>
      <c r="L43" s="8"/>
      <c r="M43" s="8"/>
    </row>
    <row r="44" spans="1:13" s="24" customFormat="1" x14ac:dyDescent="0.3">
      <c r="B44" s="6"/>
      <c r="C44" s="8"/>
      <c r="D44" s="8"/>
      <c r="E44" s="8"/>
      <c r="F44" s="8"/>
      <c r="G44" s="8"/>
      <c r="H44" s="8"/>
      <c r="I44" s="8"/>
      <c r="J44" s="8"/>
      <c r="K44" s="8"/>
      <c r="L44" s="8"/>
      <c r="M44" s="8"/>
    </row>
    <row r="45" spans="1:13" s="24" customFormat="1" x14ac:dyDescent="0.3">
      <c r="A45" s="23"/>
      <c r="B45" s="6"/>
      <c r="C45" s="8"/>
      <c r="D45" s="8"/>
      <c r="E45" s="8"/>
      <c r="F45" s="8"/>
      <c r="G45" s="8"/>
      <c r="H45" s="8"/>
      <c r="I45" s="8"/>
      <c r="J45" s="8"/>
      <c r="K45" s="8"/>
      <c r="L45" s="8"/>
      <c r="M45" s="8"/>
    </row>
    <row r="46" spans="1:13" s="24" customFormat="1" x14ac:dyDescent="0.3">
      <c r="A46" s="23"/>
      <c r="B46" s="23"/>
      <c r="C46" s="31"/>
      <c r="D46" s="31"/>
      <c r="E46" s="31"/>
      <c r="F46" s="31"/>
      <c r="G46" s="31"/>
      <c r="H46" s="22"/>
      <c r="I46" s="8"/>
      <c r="J46" s="8"/>
      <c r="K46" s="8"/>
      <c r="L46" s="8"/>
      <c r="M46" s="8"/>
    </row>
    <row r="47" spans="1:13" s="24" customFormat="1" x14ac:dyDescent="0.3">
      <c r="A47" s="23"/>
      <c r="B47" s="23"/>
      <c r="C47" s="31"/>
      <c r="D47" s="31"/>
      <c r="E47" s="31"/>
      <c r="F47" s="31"/>
      <c r="G47" s="31"/>
      <c r="H47" s="22"/>
      <c r="I47" s="8"/>
      <c r="J47" s="8"/>
      <c r="K47" s="8"/>
      <c r="L47" s="8"/>
      <c r="M47" s="8"/>
    </row>
    <row r="48" spans="1:13" s="24" customFormat="1" x14ac:dyDescent="0.3">
      <c r="A48" s="23"/>
      <c r="B48" s="23"/>
      <c r="C48" s="31"/>
      <c r="D48" s="31"/>
      <c r="E48" s="31"/>
      <c r="F48" s="31"/>
      <c r="G48" s="31"/>
      <c r="H48" s="22"/>
      <c r="I48" s="8"/>
      <c r="J48" s="8"/>
      <c r="K48" s="8"/>
      <c r="L48" s="8"/>
      <c r="M48" s="8"/>
    </row>
    <row r="49" spans="1:13" s="24" customFormat="1" x14ac:dyDescent="0.3">
      <c r="A49" s="23"/>
      <c r="B49" s="23"/>
      <c r="C49" s="8"/>
      <c r="D49" s="8"/>
      <c r="E49" s="8"/>
      <c r="F49" s="8"/>
      <c r="G49" s="8"/>
      <c r="H49" s="8"/>
      <c r="I49" s="8"/>
      <c r="J49" s="8"/>
      <c r="K49" s="8"/>
      <c r="L49" s="8"/>
      <c r="M49" s="8"/>
    </row>
    <row r="50" spans="1:13" s="24" customFormat="1" x14ac:dyDescent="0.3">
      <c r="A50" s="23"/>
      <c r="B50" s="23"/>
      <c r="C50" s="8"/>
      <c r="D50" s="8"/>
      <c r="E50" s="8"/>
      <c r="F50" s="8"/>
      <c r="G50" s="8"/>
      <c r="H50" s="8"/>
      <c r="I50" s="8"/>
      <c r="J50" s="8"/>
      <c r="K50" s="8"/>
      <c r="L50" s="8"/>
      <c r="M50" s="8"/>
    </row>
    <row r="51" spans="1:13" s="24" customFormat="1" x14ac:dyDescent="0.3">
      <c r="A51" s="23"/>
      <c r="B51" s="23"/>
      <c r="C51" s="8"/>
      <c r="D51" s="8"/>
      <c r="E51" s="8"/>
      <c r="F51" s="8"/>
      <c r="G51" s="8"/>
      <c r="H51" s="8"/>
      <c r="I51" s="8"/>
      <c r="J51" s="8"/>
      <c r="K51" s="8"/>
      <c r="L51" s="8"/>
      <c r="M51" s="8"/>
    </row>
    <row r="52" spans="1:13" s="24" customFormat="1" x14ac:dyDescent="0.3">
      <c r="A52" s="23"/>
      <c r="B52" s="23"/>
      <c r="C52" s="8"/>
      <c r="D52" s="8"/>
      <c r="E52" s="8"/>
      <c r="F52" s="8"/>
      <c r="G52" s="8"/>
      <c r="H52" s="8"/>
      <c r="I52" s="8"/>
      <c r="J52" s="8"/>
      <c r="K52" s="8"/>
      <c r="L52" s="8"/>
      <c r="M52" s="8"/>
    </row>
    <row r="53" spans="1:13" s="24" customFormat="1" x14ac:dyDescent="0.3">
      <c r="A53" s="23"/>
      <c r="B53" s="23"/>
      <c r="C53" s="8"/>
      <c r="D53" s="8"/>
      <c r="E53" s="8"/>
      <c r="F53" s="8"/>
      <c r="G53" s="8"/>
      <c r="H53" s="8"/>
      <c r="I53" s="8"/>
      <c r="J53" s="8"/>
      <c r="K53" s="8"/>
      <c r="L53" s="8"/>
      <c r="M53" s="8"/>
    </row>
    <row r="54" spans="1:13" s="24" customFormat="1" x14ac:dyDescent="0.3">
      <c r="A54" s="23"/>
      <c r="B54" s="23"/>
      <c r="C54" s="8"/>
      <c r="D54" s="8"/>
      <c r="E54" s="8"/>
      <c r="F54" s="8"/>
      <c r="G54" s="8"/>
      <c r="H54" s="8"/>
      <c r="I54" s="8"/>
      <c r="J54" s="8"/>
      <c r="K54" s="8"/>
      <c r="L54" s="8"/>
      <c r="M54" s="8"/>
    </row>
    <row r="57" spans="1:13" x14ac:dyDescent="0.3">
      <c r="J57" s="22"/>
      <c r="K57" s="22"/>
      <c r="L57" s="22"/>
      <c r="M57" s="22"/>
    </row>
    <row r="58" spans="1:13" x14ac:dyDescent="0.3">
      <c r="J58" s="22"/>
      <c r="K58" s="22"/>
      <c r="L58" s="22"/>
      <c r="M58" s="22"/>
    </row>
    <row r="59" spans="1:13" x14ac:dyDescent="0.3">
      <c r="J59" s="22"/>
      <c r="K59" s="22"/>
      <c r="L59" s="22"/>
      <c r="M59" s="22"/>
    </row>
    <row r="60" spans="1:13" x14ac:dyDescent="0.3">
      <c r="B60" s="6"/>
    </row>
    <row r="62" spans="1:13" x14ac:dyDescent="0.3">
      <c r="J62" s="22"/>
      <c r="K62" s="22"/>
      <c r="L62" s="22"/>
      <c r="M62" s="22"/>
    </row>
    <row r="65" spans="3:7" x14ac:dyDescent="0.3">
      <c r="C65" s="22"/>
      <c r="D65" s="22"/>
      <c r="E65" s="22"/>
      <c r="F65" s="22"/>
      <c r="G65" s="22"/>
    </row>
    <row r="66" spans="3:7" x14ac:dyDescent="0.3">
      <c r="C66" s="22"/>
      <c r="D66" s="22"/>
      <c r="E66" s="22"/>
      <c r="F66" s="22"/>
      <c r="G66" s="22"/>
    </row>
  </sheetData>
  <mergeCells count="11">
    <mergeCell ref="B20:M20"/>
    <mergeCell ref="B25:M25"/>
    <mergeCell ref="B26:M26"/>
    <mergeCell ref="B31:M31"/>
    <mergeCell ref="C3:G3"/>
    <mergeCell ref="H3:M3"/>
    <mergeCell ref="B1:M1"/>
    <mergeCell ref="B5:M5"/>
    <mergeCell ref="B19:M19"/>
    <mergeCell ref="B11:M11"/>
    <mergeCell ref="B6:M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A0EB6-851C-4412-9360-5E7693A7A693}">
  <dimension ref="A1:M57"/>
  <sheetViews>
    <sheetView showGridLines="0" workbookViewId="0"/>
  </sheetViews>
  <sheetFormatPr defaultRowHeight="14.5" x14ac:dyDescent="0.35"/>
  <cols>
    <col min="1" max="1" width="1.6328125" customWidth="1"/>
    <col min="2" max="2" width="40.6328125" customWidth="1"/>
    <col min="3" max="13" width="11.36328125" customWidth="1"/>
  </cols>
  <sheetData>
    <row r="1" spans="1:13" ht="25" customHeight="1" x14ac:dyDescent="0.35">
      <c r="B1" s="96" t="s">
        <v>5</v>
      </c>
      <c r="C1" s="96"/>
      <c r="D1" s="96"/>
      <c r="E1" s="96"/>
      <c r="F1" s="96"/>
      <c r="G1" s="96"/>
      <c r="H1" s="96"/>
      <c r="I1" s="96"/>
      <c r="J1" s="96"/>
      <c r="K1" s="96"/>
      <c r="L1" s="96"/>
      <c r="M1" s="96"/>
    </row>
    <row r="2" spans="1:13" x14ac:dyDescent="0.35">
      <c r="B2" s="23"/>
      <c r="C2" s="8"/>
      <c r="D2" s="8"/>
      <c r="E2" s="8"/>
      <c r="F2" s="8"/>
      <c r="G2" s="8"/>
      <c r="H2" s="8"/>
      <c r="I2" s="8"/>
      <c r="J2" s="8"/>
      <c r="K2" s="8"/>
      <c r="L2" s="8"/>
      <c r="M2" s="52" t="s">
        <v>7</v>
      </c>
    </row>
    <row r="3" spans="1:13" x14ac:dyDescent="0.35">
      <c r="B3" s="23"/>
      <c r="C3" s="95" t="s">
        <v>0</v>
      </c>
      <c r="D3" s="95"/>
      <c r="E3" s="95"/>
      <c r="F3" s="95"/>
      <c r="G3" s="95"/>
      <c r="H3" s="95" t="s">
        <v>1</v>
      </c>
      <c r="I3" s="95"/>
      <c r="J3" s="95"/>
      <c r="K3" s="95"/>
      <c r="L3" s="95"/>
      <c r="M3" s="95"/>
    </row>
    <row r="4" spans="1:13" s="5" customFormat="1" x14ac:dyDescent="0.35">
      <c r="A4" s="4"/>
      <c r="B4" s="12" t="s">
        <v>8</v>
      </c>
      <c r="C4" s="10">
        <v>2021</v>
      </c>
      <c r="D4" s="10">
        <v>2022</v>
      </c>
      <c r="E4" s="10">
        <v>2023</v>
      </c>
      <c r="F4" s="10">
        <v>2024</v>
      </c>
      <c r="G4" s="10">
        <v>2025</v>
      </c>
      <c r="H4" s="10">
        <v>2026</v>
      </c>
      <c r="I4" s="10">
        <v>2027</v>
      </c>
      <c r="J4" s="10">
        <v>2028</v>
      </c>
      <c r="K4" s="10">
        <v>2029</v>
      </c>
      <c r="L4" s="10">
        <v>2030</v>
      </c>
      <c r="M4" s="10">
        <v>2031</v>
      </c>
    </row>
    <row r="5" spans="1:13" s="5" customFormat="1" x14ac:dyDescent="0.35">
      <c r="A5" s="4"/>
      <c r="B5" s="113" t="s">
        <v>171</v>
      </c>
      <c r="C5" s="113"/>
      <c r="D5" s="113"/>
      <c r="E5" s="113"/>
      <c r="F5" s="113"/>
      <c r="G5" s="113"/>
      <c r="H5" s="113"/>
      <c r="I5" s="113"/>
      <c r="J5" s="113"/>
      <c r="K5" s="113"/>
      <c r="L5" s="113"/>
      <c r="M5" s="113"/>
    </row>
    <row r="6" spans="1:13" s="5" customFormat="1" x14ac:dyDescent="0.35">
      <c r="A6" s="4"/>
      <c r="B6" s="37" t="s">
        <v>72</v>
      </c>
      <c r="C6" s="91">
        <f>'Income Statement'!C17</f>
        <v>71.96000000000214</v>
      </c>
      <c r="D6" s="91">
        <f>'Income Statement'!D17</f>
        <v>-5535.35</v>
      </c>
      <c r="E6" s="91">
        <f>'Income Statement'!E17</f>
        <v>80.970000000004276</v>
      </c>
      <c r="F6" s="91">
        <f>'Income Statement'!F17</f>
        <v>655.79999999999905</v>
      </c>
      <c r="G6" s="91">
        <f>'Income Statement'!G17</f>
        <v>785.400000000001</v>
      </c>
      <c r="H6" s="91">
        <f>'Income Statement'!H17</f>
        <v>861.84562499999856</v>
      </c>
      <c r="I6" s="91">
        <f>'Income Statement'!I17</f>
        <v>1314.8973449999992</v>
      </c>
      <c r="J6" s="91">
        <f>'Income Statement'!J17</f>
        <v>1483.0927960500026</v>
      </c>
      <c r="K6" s="91">
        <f>'Income Statement'!K17</f>
        <v>2036.4869773102521</v>
      </c>
      <c r="L6" s="91">
        <f>'Income Statement'!L17</f>
        <v>2243.7212154950712</v>
      </c>
      <c r="M6" s="91">
        <f>'Income Statement'!M17</f>
        <v>2899.1735059824887</v>
      </c>
    </row>
    <row r="7" spans="1:13" s="5" customFormat="1" x14ac:dyDescent="0.35">
      <c r="A7" s="4"/>
      <c r="B7" s="37" t="s">
        <v>83</v>
      </c>
      <c r="C7" s="91">
        <f>'Income Statement'!C12</f>
        <v>486.29</v>
      </c>
      <c r="D7" s="91">
        <f>'Income Statement'!D12</f>
        <v>537.44000000000005</v>
      </c>
      <c r="E7" s="91">
        <f>'Income Statement'!E12</f>
        <v>572.75</v>
      </c>
      <c r="F7" s="91">
        <f>'Income Statement'!F12</f>
        <v>602.5</v>
      </c>
      <c r="G7" s="91">
        <f>'Income Statement'!G12</f>
        <v>672.2</v>
      </c>
      <c r="H7" s="91">
        <f>'Income Statement'!H12</f>
        <v>755.08620000000008</v>
      </c>
      <c r="I7" s="91">
        <f>'Income Statement'!I12</f>
        <v>830.59482000000025</v>
      </c>
      <c r="J7" s="91">
        <f>'Income Statement'!J12</f>
        <v>905.34835380000038</v>
      </c>
      <c r="K7" s="91">
        <f>'Income Statement'!K12</f>
        <v>986.82970564200048</v>
      </c>
      <c r="L7" s="91">
        <f>'Income Statement'!L12</f>
        <v>1065.7760820933606</v>
      </c>
      <c r="M7" s="91">
        <f>'Income Statement'!M12</f>
        <v>1151.0381686608296</v>
      </c>
    </row>
    <row r="8" spans="1:13" s="5" customFormat="1" x14ac:dyDescent="0.35">
      <c r="A8" s="4"/>
      <c r="B8" s="116" t="s">
        <v>84</v>
      </c>
      <c r="C8" s="116"/>
      <c r="D8" s="116"/>
      <c r="E8" s="116"/>
      <c r="F8" s="116"/>
      <c r="G8" s="116"/>
      <c r="H8" s="116"/>
      <c r="I8" s="116"/>
      <c r="J8" s="116"/>
      <c r="K8" s="116"/>
      <c r="L8" s="116"/>
      <c r="M8" s="116"/>
    </row>
    <row r="9" spans="1:13" s="5" customFormat="1" x14ac:dyDescent="0.35">
      <c r="A9" s="4"/>
      <c r="B9" s="37" t="s">
        <v>85</v>
      </c>
      <c r="C9" s="67"/>
      <c r="D9" s="67">
        <f>Assumptions!C45-Assumptions!D45</f>
        <v>336.41000000000008</v>
      </c>
      <c r="E9" s="67">
        <f>Assumptions!D45-Assumptions!E45</f>
        <v>-429.27</v>
      </c>
      <c r="F9" s="67">
        <f>Assumptions!E45-Assumptions!F45</f>
        <v>-760.26</v>
      </c>
      <c r="G9" s="67">
        <f>Assumptions!F45-Assumptions!G45</f>
        <v>-152.5</v>
      </c>
      <c r="H9" s="67">
        <f>Assumptions!G45-Assumptions!H45</f>
        <v>-301.12104109589063</v>
      </c>
      <c r="I9" s="67">
        <f>Assumptions!H45-Assumptions!I45</f>
        <v>-289.6221041095896</v>
      </c>
      <c r="J9" s="67">
        <f>Assumptions!I45-Assumptions!J45</f>
        <v>-162.70556063013737</v>
      </c>
      <c r="K9" s="67">
        <f>Assumptions!J45-Assumptions!K45</f>
        <v>-301.3693835252061</v>
      </c>
      <c r="L9" s="67">
        <f>Assumptions!K45-Assumptions!L45</f>
        <v>-145.99672357443342</v>
      </c>
      <c r="M9" s="67">
        <f>Assumptions!L45-Assumptions!M45</f>
        <v>-145.99672357443296</v>
      </c>
    </row>
    <row r="10" spans="1:13" s="5" customFormat="1" x14ac:dyDescent="0.35">
      <c r="A10" s="4"/>
      <c r="B10" s="37" t="s">
        <v>86</v>
      </c>
      <c r="C10" s="67"/>
      <c r="D10" s="67">
        <f>Assumptions!C48-Assumptions!D48</f>
        <v>2160.5</v>
      </c>
      <c r="E10" s="67">
        <f>Assumptions!D48-Assumptions!E48</f>
        <v>-948.14999999999964</v>
      </c>
      <c r="F10" s="67">
        <f>Assumptions!E48-Assumptions!F48</f>
        <v>-417.70000000000073</v>
      </c>
      <c r="G10" s="67">
        <f>Assumptions!F48-Assumptions!G48</f>
        <v>373.70000000000073</v>
      </c>
      <c r="H10" s="67">
        <f>Assumptions!G48-Assumptions!H48</f>
        <v>-814.57469178082283</v>
      </c>
      <c r="I10" s="67">
        <f>Assumptions!H48-Assumptions!I48</f>
        <v>-562.69437369863044</v>
      </c>
      <c r="J10" s="67">
        <f>Assumptions!I48-Assumptions!J48</f>
        <v>-552.33417728876793</v>
      </c>
      <c r="K10" s="67">
        <f>Assumptions!J48-Assumptions!K48</f>
        <v>-580.26628462458302</v>
      </c>
      <c r="L10" s="67">
        <f>Assumptions!K48-Assumptions!L48</f>
        <v>-556.57195398208933</v>
      </c>
      <c r="M10" s="67">
        <f>Assumptions!L48-Assumptions!M48</f>
        <v>-576.80385549787025</v>
      </c>
    </row>
    <row r="11" spans="1:13" s="5" customFormat="1" x14ac:dyDescent="0.35">
      <c r="A11" s="4"/>
      <c r="B11" s="37" t="s">
        <v>87</v>
      </c>
      <c r="C11" s="67"/>
      <c r="D11" s="67">
        <f>Assumptions!D51-Assumptions!C51</f>
        <v>-782.70999999999958</v>
      </c>
      <c r="E11" s="67">
        <f>Assumptions!E51-Assumptions!D51</f>
        <v>-732.75</v>
      </c>
      <c r="F11" s="67">
        <f>Assumptions!F51-Assumptions!E51</f>
        <v>968.56</v>
      </c>
      <c r="G11" s="67">
        <f>Assumptions!G51-Assumptions!F51</f>
        <v>62.399999999999636</v>
      </c>
      <c r="H11" s="67">
        <f>Assumptions!H51-Assumptions!G51</f>
        <v>80.829876712329224</v>
      </c>
      <c r="I11" s="67">
        <f>Assumptions!I51-Assumptions!H51</f>
        <v>225.07774947945245</v>
      </c>
      <c r="J11" s="67">
        <f>Assumptions!J51-Assumptions!I51</f>
        <v>165.86864775287677</v>
      </c>
      <c r="K11" s="67">
        <f>Assumptions!K51-Assumptions!J51</f>
        <v>227.96175467394323</v>
      </c>
      <c r="L11" s="67">
        <f>Assumptions!L51-Assumptions!K51</f>
        <v>153.94543408015261</v>
      </c>
      <c r="M11" s="67">
        <f>Assumptions!M51-Assumptions!L51</f>
        <v>222.38220934857645</v>
      </c>
    </row>
    <row r="12" spans="1:13" s="5" customFormat="1" x14ac:dyDescent="0.35">
      <c r="A12" s="4"/>
      <c r="B12" s="39" t="s">
        <v>88</v>
      </c>
      <c r="C12" s="69">
        <f>SUM(C6:C11)</f>
        <v>558.25000000000216</v>
      </c>
      <c r="D12" s="69">
        <f t="shared" ref="D12:M12" si="0">SUM(D6:D11)</f>
        <v>-3283.7099999999996</v>
      </c>
      <c r="E12" s="69">
        <f t="shared" si="0"/>
        <v>-1456.4499999999953</v>
      </c>
      <c r="F12" s="69">
        <f t="shared" si="0"/>
        <v>1048.8999999999983</v>
      </c>
      <c r="G12" s="69">
        <f t="shared" si="0"/>
        <v>1741.2000000000014</v>
      </c>
      <c r="H12" s="69">
        <f t="shared" si="0"/>
        <v>582.06596883561451</v>
      </c>
      <c r="I12" s="69">
        <f t="shared" si="0"/>
        <v>1518.2534366712321</v>
      </c>
      <c r="J12" s="69">
        <f t="shared" si="0"/>
        <v>1839.2700596839745</v>
      </c>
      <c r="K12" s="69">
        <f t="shared" si="0"/>
        <v>2369.6427694764066</v>
      </c>
      <c r="L12" s="69">
        <f t="shared" si="0"/>
        <v>2760.8740541120619</v>
      </c>
      <c r="M12" s="69">
        <f t="shared" si="0"/>
        <v>3549.7933049195917</v>
      </c>
    </row>
    <row r="13" spans="1:13" s="5" customFormat="1" x14ac:dyDescent="0.35">
      <c r="A13" s="4"/>
      <c r="B13" s="113" t="s">
        <v>170</v>
      </c>
      <c r="C13" s="113"/>
      <c r="D13" s="113"/>
      <c r="E13" s="113"/>
      <c r="F13" s="113"/>
      <c r="G13" s="113"/>
      <c r="H13" s="113"/>
      <c r="I13" s="113"/>
      <c r="J13" s="113"/>
      <c r="K13" s="113"/>
      <c r="L13" s="113"/>
      <c r="M13" s="113"/>
    </row>
    <row r="14" spans="1:13" s="5" customFormat="1" x14ac:dyDescent="0.35">
      <c r="A14" s="4"/>
      <c r="B14" s="37" t="s">
        <v>181</v>
      </c>
      <c r="C14" s="91">
        <f>-Assumptions!C57</f>
        <v>-434.7</v>
      </c>
      <c r="D14" s="91">
        <f>-Assumptions!D57</f>
        <v>-355.65</v>
      </c>
      <c r="E14" s="91">
        <f>-Assumptions!E57</f>
        <v>-866.53</v>
      </c>
      <c r="F14" s="91">
        <f>-Assumptions!F57</f>
        <v>-611.85</v>
      </c>
      <c r="G14" s="91">
        <f>-Assumptions!G57</f>
        <v>-1238.5</v>
      </c>
      <c r="H14" s="91">
        <f>-Assumptions!H57</f>
        <v>-1132.6293000000001</v>
      </c>
      <c r="I14" s="91">
        <f>-Assumptions!I57</f>
        <v>-1245.8922300000002</v>
      </c>
      <c r="J14" s="91">
        <f>-Assumptions!J57</f>
        <v>-1358.0225307000005</v>
      </c>
      <c r="K14" s="91">
        <f>-Assumptions!K57</f>
        <v>-1480.2445584630007</v>
      </c>
      <c r="L14" s="91">
        <f>-Assumptions!L57</f>
        <v>-1598.6641231400408</v>
      </c>
      <c r="M14" s="91">
        <f>-Assumptions!M57</f>
        <v>-1726.5572529912442</v>
      </c>
    </row>
    <row r="15" spans="1:13" s="5" customFormat="1" x14ac:dyDescent="0.35">
      <c r="A15" s="4"/>
      <c r="B15" s="39" t="s">
        <v>89</v>
      </c>
      <c r="C15" s="69">
        <f>C14</f>
        <v>-434.7</v>
      </c>
      <c r="D15" s="69">
        <f t="shared" ref="D15:M15" si="1">D14</f>
        <v>-355.65</v>
      </c>
      <c r="E15" s="69">
        <f t="shared" si="1"/>
        <v>-866.53</v>
      </c>
      <c r="F15" s="69">
        <f t="shared" si="1"/>
        <v>-611.85</v>
      </c>
      <c r="G15" s="69">
        <f t="shared" si="1"/>
        <v>-1238.5</v>
      </c>
      <c r="H15" s="69">
        <f t="shared" si="1"/>
        <v>-1132.6293000000001</v>
      </c>
      <c r="I15" s="69">
        <f t="shared" si="1"/>
        <v>-1245.8922300000002</v>
      </c>
      <c r="J15" s="69">
        <f t="shared" si="1"/>
        <v>-1358.0225307000005</v>
      </c>
      <c r="K15" s="69">
        <f t="shared" si="1"/>
        <v>-1480.2445584630007</v>
      </c>
      <c r="L15" s="69">
        <f t="shared" si="1"/>
        <v>-1598.6641231400408</v>
      </c>
      <c r="M15" s="69">
        <f t="shared" si="1"/>
        <v>-1726.5572529912442</v>
      </c>
    </row>
    <row r="16" spans="1:13" s="5" customFormat="1" x14ac:dyDescent="0.35">
      <c r="A16" s="4"/>
      <c r="B16" s="113" t="s">
        <v>169</v>
      </c>
      <c r="C16" s="113"/>
      <c r="D16" s="113"/>
      <c r="E16" s="113"/>
      <c r="F16" s="113"/>
      <c r="G16" s="113"/>
      <c r="H16" s="113"/>
      <c r="I16" s="113"/>
      <c r="J16" s="113"/>
      <c r="K16" s="113"/>
      <c r="L16" s="113"/>
      <c r="M16" s="113"/>
    </row>
    <row r="17" spans="1:13" s="5" customFormat="1" x14ac:dyDescent="0.35">
      <c r="A17" s="4"/>
      <c r="B17" s="37" t="s">
        <v>90</v>
      </c>
      <c r="C17" s="67"/>
      <c r="D17" s="67">
        <f>Assumptions!D31-Assumptions!C31</f>
        <v>1366.2000000000003</v>
      </c>
      <c r="E17" s="67">
        <f>Assumptions!E31-Assumptions!D31</f>
        <v>717.64999999999964</v>
      </c>
      <c r="F17" s="67">
        <f>Assumptions!F31-Assumptions!E31</f>
        <v>-58.359999999999673</v>
      </c>
      <c r="G17" s="67">
        <f>Assumptions!G31-Assumptions!F31</f>
        <v>318.79999999999927</v>
      </c>
      <c r="H17" s="67">
        <f>Assumptions!H31-Assumptions!G31</f>
        <v>0</v>
      </c>
      <c r="I17" s="67">
        <f>Assumptions!I31-Assumptions!H31</f>
        <v>0</v>
      </c>
      <c r="J17" s="67">
        <f>Assumptions!J31-Assumptions!I31</f>
        <v>0</v>
      </c>
      <c r="K17" s="67">
        <f>Assumptions!K31-Assumptions!J31</f>
        <v>0</v>
      </c>
      <c r="L17" s="67">
        <f>Assumptions!L31-Assumptions!K31</f>
        <v>0</v>
      </c>
      <c r="M17" s="67">
        <f>Assumptions!M31-Assumptions!L31</f>
        <v>0</v>
      </c>
    </row>
    <row r="18" spans="1:13" s="5" customFormat="1" x14ac:dyDescent="0.35">
      <c r="A18" s="4"/>
      <c r="B18" s="39" t="s">
        <v>91</v>
      </c>
      <c r="C18" s="69">
        <f>C17</f>
        <v>0</v>
      </c>
      <c r="D18" s="69">
        <f t="shared" ref="D18:M18" si="2">D17</f>
        <v>1366.2000000000003</v>
      </c>
      <c r="E18" s="69">
        <f t="shared" si="2"/>
        <v>717.64999999999964</v>
      </c>
      <c r="F18" s="69">
        <f t="shared" si="2"/>
        <v>-58.359999999999673</v>
      </c>
      <c r="G18" s="69">
        <f t="shared" si="2"/>
        <v>318.79999999999927</v>
      </c>
      <c r="H18" s="69">
        <f t="shared" si="2"/>
        <v>0</v>
      </c>
      <c r="I18" s="69">
        <f t="shared" si="2"/>
        <v>0</v>
      </c>
      <c r="J18" s="69">
        <f t="shared" si="2"/>
        <v>0</v>
      </c>
      <c r="K18" s="69">
        <f t="shared" si="2"/>
        <v>0</v>
      </c>
      <c r="L18" s="69">
        <f t="shared" si="2"/>
        <v>0</v>
      </c>
      <c r="M18" s="69">
        <f t="shared" si="2"/>
        <v>0</v>
      </c>
    </row>
    <row r="19" spans="1:13" s="5" customFormat="1" x14ac:dyDescent="0.35">
      <c r="A19" s="4"/>
      <c r="B19" s="39" t="s">
        <v>94</v>
      </c>
      <c r="C19" s="69">
        <f>C12+C15+C18</f>
        <v>123.55000000000217</v>
      </c>
      <c r="D19" s="69">
        <f t="shared" ref="D19:M19" si="3">D12+D15+D18</f>
        <v>-2273.1599999999994</v>
      </c>
      <c r="E19" s="69">
        <f t="shared" si="3"/>
        <v>-1605.3299999999954</v>
      </c>
      <c r="F19" s="69">
        <f t="shared" si="3"/>
        <v>378.68999999999858</v>
      </c>
      <c r="G19" s="69">
        <f t="shared" si="3"/>
        <v>821.50000000000068</v>
      </c>
      <c r="H19" s="69">
        <f t="shared" si="3"/>
        <v>-550.56333116438554</v>
      </c>
      <c r="I19" s="69">
        <f t="shared" si="3"/>
        <v>272.36120667123191</v>
      </c>
      <c r="J19" s="69">
        <f t="shared" si="3"/>
        <v>481.24752898397401</v>
      </c>
      <c r="K19" s="69">
        <f t="shared" si="3"/>
        <v>889.3982110134059</v>
      </c>
      <c r="L19" s="69">
        <f t="shared" si="3"/>
        <v>1162.2099309720211</v>
      </c>
      <c r="M19" s="69">
        <f t="shared" si="3"/>
        <v>1823.2360519283475</v>
      </c>
    </row>
    <row r="20" spans="1:13" s="5" customFormat="1" x14ac:dyDescent="0.35">
      <c r="A20" s="4"/>
      <c r="B20" s="37" t="s">
        <v>92</v>
      </c>
      <c r="C20" s="91">
        <f>'Balance Sheet'!C14</f>
        <v>69.45</v>
      </c>
      <c r="D20" s="91">
        <f>'Balance Sheet'!D14</f>
        <v>796.73</v>
      </c>
      <c r="E20" s="91">
        <f>'Balance Sheet'!E14</f>
        <v>137.99</v>
      </c>
      <c r="F20" s="91">
        <f>'Balance Sheet'!F14</f>
        <v>105.60000000000001</v>
      </c>
      <c r="G20" s="91">
        <f>'Balance Sheet'!G14</f>
        <v>118.9</v>
      </c>
      <c r="H20" s="91">
        <f>'Balance Sheet'!G14</f>
        <v>118.9</v>
      </c>
      <c r="I20" s="67">
        <f>H21</f>
        <v>-431.66333116438557</v>
      </c>
      <c r="J20" s="67">
        <f t="shared" ref="J20:M20" si="4">I21</f>
        <v>-159.30212449315366</v>
      </c>
      <c r="K20" s="67">
        <f t="shared" si="4"/>
        <v>321.94540449082035</v>
      </c>
      <c r="L20" s="67">
        <f t="shared" si="4"/>
        <v>1211.3436155042264</v>
      </c>
      <c r="M20" s="67">
        <f t="shared" si="4"/>
        <v>2373.5535464762474</v>
      </c>
    </row>
    <row r="21" spans="1:13" s="5" customFormat="1" x14ac:dyDescent="0.35">
      <c r="A21" s="4"/>
      <c r="B21" s="39" t="s">
        <v>93</v>
      </c>
      <c r="C21" s="69">
        <f>C19+C20</f>
        <v>193.00000000000216</v>
      </c>
      <c r="D21" s="69">
        <f t="shared" ref="D21:M21" si="5">D19+D20</f>
        <v>-1476.4299999999994</v>
      </c>
      <c r="E21" s="69">
        <f t="shared" si="5"/>
        <v>-1467.3399999999954</v>
      </c>
      <c r="F21" s="69">
        <f t="shared" si="5"/>
        <v>484.2899999999986</v>
      </c>
      <c r="G21" s="69">
        <f t="shared" si="5"/>
        <v>940.40000000000066</v>
      </c>
      <c r="H21" s="69">
        <f t="shared" si="5"/>
        <v>-431.66333116438557</v>
      </c>
      <c r="I21" s="69">
        <f t="shared" si="5"/>
        <v>-159.30212449315366</v>
      </c>
      <c r="J21" s="69">
        <f t="shared" si="5"/>
        <v>321.94540449082035</v>
      </c>
      <c r="K21" s="69">
        <f t="shared" si="5"/>
        <v>1211.3436155042264</v>
      </c>
      <c r="L21" s="69">
        <f t="shared" si="5"/>
        <v>2373.5535464762474</v>
      </c>
      <c r="M21" s="69">
        <f t="shared" si="5"/>
        <v>4196.7895984045954</v>
      </c>
    </row>
    <row r="22" spans="1:13" s="5" customFormat="1" x14ac:dyDescent="0.35">
      <c r="B22" s="37"/>
      <c r="C22" s="1"/>
      <c r="D22" s="1"/>
      <c r="E22" s="1"/>
      <c r="F22" s="1"/>
      <c r="G22" s="1"/>
      <c r="H22" s="71"/>
      <c r="I22" s="71"/>
      <c r="J22" s="71"/>
      <c r="K22" s="71"/>
      <c r="L22" s="71"/>
      <c r="M22" s="71"/>
    </row>
    <row r="23" spans="1:13" s="5" customFormat="1" ht="14.5" customHeight="1" x14ac:dyDescent="0.35">
      <c r="B23"/>
      <c r="D23" s="115"/>
      <c r="E23" s="115"/>
      <c r="F23" s="115"/>
      <c r="G23" s="115"/>
      <c r="H23" s="115"/>
      <c r="I23" s="115"/>
      <c r="J23" s="115"/>
      <c r="K23" s="60"/>
      <c r="L23" s="60"/>
    </row>
    <row r="24" spans="1:13" s="5" customFormat="1" x14ac:dyDescent="0.35">
      <c r="B24" s="73"/>
      <c r="C24" s="1"/>
      <c r="D24" s="1"/>
      <c r="E24" s="1"/>
      <c r="F24" s="1"/>
      <c r="G24" s="1"/>
      <c r="H24" s="1"/>
      <c r="I24" s="1"/>
      <c r="J24" s="1"/>
      <c r="K24" s="1"/>
      <c r="L24" s="1"/>
      <c r="M24" s="1"/>
    </row>
    <row r="25" spans="1:13" s="5" customFormat="1" x14ac:dyDescent="0.35">
      <c r="B25" s="3"/>
      <c r="C25" s="1"/>
      <c r="D25" s="1"/>
      <c r="E25" s="1"/>
      <c r="F25" s="1"/>
      <c r="G25" s="1"/>
      <c r="H25" s="1"/>
      <c r="I25" s="1"/>
      <c r="J25" s="1"/>
      <c r="K25" s="1"/>
      <c r="L25" s="1"/>
      <c r="M25" s="1"/>
    </row>
    <row r="26" spans="1:13" s="5" customFormat="1" x14ac:dyDescent="0.35">
      <c r="B26"/>
      <c r="C26" s="1"/>
      <c r="D26" s="1"/>
      <c r="E26" s="1"/>
      <c r="F26" s="1"/>
      <c r="G26" s="1"/>
      <c r="H26" s="1"/>
      <c r="I26" s="1"/>
      <c r="J26" s="1"/>
      <c r="K26" s="1"/>
      <c r="L26" s="1"/>
      <c r="M26" s="1"/>
    </row>
    <row r="27" spans="1:13" s="5" customFormat="1" x14ac:dyDescent="0.35">
      <c r="B27"/>
      <c r="C27" s="1"/>
      <c r="D27" s="1"/>
      <c r="E27" s="1"/>
      <c r="F27" s="1"/>
      <c r="G27" s="1"/>
      <c r="H27" s="1"/>
      <c r="I27" s="1"/>
      <c r="J27" s="1"/>
      <c r="K27" s="1"/>
      <c r="L27" s="1"/>
      <c r="M27" s="1"/>
    </row>
    <row r="28" spans="1:13" s="5" customFormat="1" x14ac:dyDescent="0.35">
      <c r="B28"/>
      <c r="C28" s="1"/>
      <c r="D28" s="1"/>
      <c r="E28" s="1"/>
      <c r="F28" s="1"/>
      <c r="G28" s="1"/>
      <c r="H28" s="1"/>
      <c r="I28" s="1"/>
      <c r="J28" s="1"/>
      <c r="K28" s="1"/>
      <c r="L28" s="1"/>
      <c r="M28" s="1"/>
    </row>
    <row r="29" spans="1:13" s="5" customFormat="1" x14ac:dyDescent="0.35">
      <c r="B29"/>
      <c r="C29" s="1"/>
      <c r="D29" s="1"/>
      <c r="E29" s="1"/>
      <c r="F29" s="1"/>
      <c r="G29" s="1"/>
      <c r="H29" s="1"/>
      <c r="I29" s="1"/>
      <c r="J29" s="1"/>
      <c r="K29" s="1"/>
      <c r="L29" s="1"/>
      <c r="M29" s="1"/>
    </row>
    <row r="30" spans="1:13" x14ac:dyDescent="0.35">
      <c r="A30" s="5"/>
      <c r="C30" s="1"/>
      <c r="D30" s="1"/>
      <c r="E30" s="1"/>
      <c r="F30" s="1"/>
      <c r="G30" s="1"/>
      <c r="H30" s="1"/>
      <c r="I30" s="1"/>
      <c r="J30" s="1"/>
      <c r="K30" s="1"/>
      <c r="L30" s="1"/>
      <c r="M30" s="1"/>
    </row>
    <row r="31" spans="1:13" x14ac:dyDescent="0.35">
      <c r="A31" s="5"/>
      <c r="C31" s="1"/>
      <c r="D31" s="1"/>
      <c r="E31" s="1"/>
      <c r="F31" s="1"/>
      <c r="G31" s="1"/>
      <c r="H31" s="1"/>
      <c r="I31" s="1"/>
      <c r="J31" s="1"/>
      <c r="K31" s="1"/>
      <c r="L31" s="1"/>
      <c r="M31" s="1"/>
    </row>
    <row r="32" spans="1:13" x14ac:dyDescent="0.35">
      <c r="A32" s="5"/>
      <c r="C32" s="1"/>
      <c r="D32" s="1"/>
      <c r="E32" s="1"/>
      <c r="F32" s="1"/>
      <c r="G32" s="1"/>
      <c r="H32" s="1"/>
      <c r="I32" s="1"/>
      <c r="J32" s="1"/>
      <c r="K32" s="1"/>
      <c r="L32" s="1"/>
      <c r="M32" s="1"/>
    </row>
    <row r="33" spans="1:13" x14ac:dyDescent="0.35">
      <c r="A33" s="5"/>
      <c r="C33" s="1"/>
      <c r="D33" s="1"/>
      <c r="E33" s="1"/>
      <c r="F33" s="1"/>
      <c r="G33" s="1"/>
      <c r="H33" s="1"/>
      <c r="I33" s="1"/>
      <c r="J33" s="1"/>
      <c r="K33" s="1"/>
      <c r="L33" s="1"/>
      <c r="M33" s="1"/>
    </row>
    <row r="34" spans="1:13" x14ac:dyDescent="0.35">
      <c r="C34" s="1"/>
      <c r="D34" s="1"/>
      <c r="E34" s="1"/>
      <c r="F34" s="1"/>
      <c r="G34" s="1"/>
      <c r="H34" s="1"/>
      <c r="I34" s="1"/>
      <c r="J34" s="1"/>
      <c r="K34" s="1"/>
      <c r="L34" s="1"/>
      <c r="M34" s="1"/>
    </row>
    <row r="35" spans="1:13" x14ac:dyDescent="0.35">
      <c r="C35" s="1"/>
      <c r="D35" s="1"/>
      <c r="E35" s="1"/>
      <c r="F35" s="1"/>
      <c r="G35" s="1"/>
      <c r="H35" s="1"/>
      <c r="I35" s="1"/>
      <c r="J35" s="1"/>
      <c r="K35" s="1"/>
      <c r="L35" s="1"/>
      <c r="M35" s="1"/>
    </row>
    <row r="36" spans="1:13" x14ac:dyDescent="0.35">
      <c r="C36" s="1"/>
      <c r="D36" s="1"/>
      <c r="E36" s="1"/>
      <c r="F36" s="1"/>
      <c r="G36" s="1"/>
      <c r="H36" s="1"/>
      <c r="I36" s="1"/>
      <c r="J36" s="1"/>
      <c r="K36" s="1"/>
      <c r="L36" s="1"/>
      <c r="M36" s="1"/>
    </row>
    <row r="37" spans="1:13" x14ac:dyDescent="0.35">
      <c r="C37" s="1"/>
      <c r="D37" s="1"/>
      <c r="E37" s="1"/>
      <c r="F37" s="1"/>
      <c r="G37" s="1"/>
      <c r="I37" s="1"/>
      <c r="J37" s="1"/>
      <c r="K37" s="1"/>
      <c r="L37" s="1"/>
      <c r="M37" s="1"/>
    </row>
    <row r="38" spans="1:13" x14ac:dyDescent="0.35">
      <c r="C38" s="1"/>
      <c r="D38" s="1"/>
      <c r="E38" s="1"/>
      <c r="F38" s="1"/>
      <c r="G38" s="1"/>
      <c r="I38" s="1"/>
      <c r="J38" s="1"/>
      <c r="K38" s="1"/>
      <c r="L38" s="1"/>
      <c r="M38" s="1"/>
    </row>
    <row r="39" spans="1:13" x14ac:dyDescent="0.35">
      <c r="C39" s="1"/>
      <c r="D39" s="1"/>
      <c r="E39" s="1"/>
      <c r="F39" s="1"/>
      <c r="G39" s="1"/>
      <c r="H39" s="1"/>
      <c r="I39" s="1"/>
      <c r="J39" s="1"/>
      <c r="K39" s="1"/>
      <c r="L39" s="1"/>
      <c r="M39" s="1"/>
    </row>
    <row r="40" spans="1:13" x14ac:dyDescent="0.35">
      <c r="B40" s="2"/>
      <c r="C40" s="1"/>
      <c r="D40" s="1"/>
      <c r="E40" s="1"/>
      <c r="F40" s="1"/>
      <c r="G40" s="1"/>
      <c r="H40" s="1"/>
      <c r="I40" s="1"/>
      <c r="J40" s="1"/>
      <c r="K40" s="1"/>
      <c r="L40" s="1"/>
      <c r="M40" s="1"/>
    </row>
    <row r="41" spans="1:13" x14ac:dyDescent="0.35">
      <c r="B41" s="2"/>
      <c r="C41" s="1"/>
      <c r="D41" s="1"/>
      <c r="E41" s="1"/>
      <c r="F41" s="1"/>
      <c r="G41" s="1"/>
      <c r="H41" s="1"/>
      <c r="I41" s="1"/>
      <c r="J41" s="1"/>
      <c r="K41" s="1"/>
      <c r="L41" s="1"/>
      <c r="M41" s="1"/>
    </row>
    <row r="42" spans="1:13" x14ac:dyDescent="0.35">
      <c r="B42" s="2"/>
      <c r="C42" s="1"/>
      <c r="D42" s="1"/>
      <c r="E42" s="1"/>
      <c r="F42" s="1"/>
      <c r="G42" s="1"/>
      <c r="H42" s="1"/>
      <c r="I42" s="1"/>
      <c r="J42" s="1"/>
      <c r="K42" s="1"/>
      <c r="L42" s="1"/>
      <c r="M42" s="1"/>
    </row>
    <row r="43" spans="1:13" x14ac:dyDescent="0.35">
      <c r="B43" s="2"/>
      <c r="C43" s="1"/>
      <c r="D43" s="1"/>
      <c r="E43" s="1"/>
      <c r="F43" s="1"/>
      <c r="G43" s="1"/>
      <c r="H43" s="1"/>
      <c r="I43" s="1"/>
      <c r="J43" s="1"/>
      <c r="K43" s="1"/>
      <c r="L43" s="1"/>
      <c r="M43" s="1"/>
    </row>
    <row r="44" spans="1:13" x14ac:dyDescent="0.35">
      <c r="B44" s="2"/>
      <c r="C44" s="1"/>
      <c r="D44" s="1"/>
      <c r="E44" s="1"/>
      <c r="F44" s="1"/>
      <c r="G44" s="1"/>
      <c r="H44" s="1"/>
      <c r="I44" s="1"/>
      <c r="J44" s="1"/>
      <c r="K44" s="1"/>
      <c r="L44" s="1"/>
      <c r="M44" s="1"/>
    </row>
    <row r="45" spans="1:13" x14ac:dyDescent="0.35">
      <c r="B45" s="2"/>
      <c r="C45" s="1"/>
      <c r="D45" s="1"/>
      <c r="E45" s="1"/>
      <c r="F45" s="1"/>
      <c r="G45" s="1"/>
      <c r="H45" s="1"/>
      <c r="I45" s="1"/>
      <c r="J45" s="1"/>
      <c r="K45" s="1"/>
      <c r="L45" s="1"/>
      <c r="M45" s="1"/>
    </row>
    <row r="46" spans="1:13" x14ac:dyDescent="0.35">
      <c r="B46" s="2"/>
      <c r="C46" s="1"/>
      <c r="D46" s="1"/>
      <c r="E46" s="1"/>
      <c r="F46" s="1"/>
      <c r="G46" s="1"/>
      <c r="H46" s="1"/>
      <c r="I46" s="1"/>
      <c r="J46" s="1"/>
      <c r="K46" s="1"/>
      <c r="L46" s="1"/>
      <c r="M46" s="1"/>
    </row>
    <row r="47" spans="1:13" x14ac:dyDescent="0.35">
      <c r="B47" s="2"/>
      <c r="C47" s="1"/>
      <c r="D47" s="1"/>
      <c r="E47" s="1"/>
      <c r="F47" s="1"/>
      <c r="G47" s="1"/>
      <c r="H47" s="1"/>
      <c r="I47" s="1"/>
      <c r="J47" s="1"/>
      <c r="K47" s="1"/>
      <c r="L47" s="1"/>
      <c r="M47" s="1"/>
    </row>
    <row r="48" spans="1:13" x14ac:dyDescent="0.35">
      <c r="B48" s="2"/>
      <c r="C48" s="1"/>
      <c r="D48" s="1"/>
      <c r="E48" s="1"/>
      <c r="F48" s="1"/>
      <c r="G48" s="1"/>
      <c r="H48" s="1"/>
      <c r="I48" s="1"/>
      <c r="J48" s="1"/>
      <c r="K48" s="1"/>
      <c r="L48" s="1"/>
      <c r="M48" s="1"/>
    </row>
    <row r="49" spans="2:13" x14ac:dyDescent="0.35">
      <c r="B49" s="2"/>
      <c r="C49" s="1"/>
      <c r="D49" s="1"/>
      <c r="E49" s="1"/>
      <c r="F49" s="1"/>
      <c r="G49" s="1"/>
      <c r="H49" s="1"/>
      <c r="I49" s="1"/>
      <c r="J49" s="1"/>
      <c r="K49" s="1"/>
      <c r="L49" s="1"/>
      <c r="M49" s="1"/>
    </row>
    <row r="50" spans="2:13" x14ac:dyDescent="0.35">
      <c r="B50" s="2"/>
      <c r="C50" s="1"/>
      <c r="D50" s="1"/>
      <c r="E50" s="1"/>
      <c r="F50" s="1"/>
      <c r="G50" s="1"/>
      <c r="H50" s="1"/>
      <c r="I50" s="1"/>
      <c r="J50" s="1"/>
      <c r="K50" s="1"/>
      <c r="L50" s="1"/>
      <c r="M50" s="1"/>
    </row>
    <row r="51" spans="2:13" x14ac:dyDescent="0.35">
      <c r="B51" s="2"/>
      <c r="C51" s="1"/>
      <c r="D51" s="1"/>
      <c r="E51" s="1"/>
      <c r="F51" s="1"/>
      <c r="G51" s="1"/>
      <c r="H51" s="1"/>
      <c r="I51" s="1"/>
      <c r="J51" s="1"/>
      <c r="K51" s="1"/>
      <c r="L51" s="1"/>
      <c r="M51" s="1"/>
    </row>
    <row r="52" spans="2:13" x14ac:dyDescent="0.35">
      <c r="B52" s="2"/>
      <c r="C52" s="1"/>
      <c r="D52" s="1"/>
      <c r="E52" s="1"/>
      <c r="F52" s="1"/>
      <c r="G52" s="1"/>
      <c r="H52" s="1"/>
      <c r="I52" s="1"/>
      <c r="J52" s="1"/>
      <c r="K52" s="1"/>
      <c r="L52" s="1"/>
      <c r="M52" s="1"/>
    </row>
    <row r="53" spans="2:13" x14ac:dyDescent="0.35">
      <c r="B53" s="2"/>
      <c r="C53" s="1"/>
      <c r="D53" s="1"/>
      <c r="E53" s="1"/>
      <c r="F53" s="1"/>
      <c r="G53" s="1"/>
      <c r="H53" s="1"/>
      <c r="I53" s="1"/>
      <c r="J53" s="1"/>
      <c r="K53" s="1"/>
      <c r="L53" s="1"/>
      <c r="M53" s="1"/>
    </row>
    <row r="54" spans="2:13" x14ac:dyDescent="0.35">
      <c r="B54" s="2"/>
      <c r="C54" s="1"/>
      <c r="D54" s="1"/>
      <c r="E54" s="1"/>
      <c r="F54" s="1"/>
      <c r="G54" s="1"/>
      <c r="H54" s="1"/>
      <c r="I54" s="1"/>
      <c r="J54" s="1"/>
      <c r="K54" s="1"/>
      <c r="L54" s="1"/>
      <c r="M54" s="1"/>
    </row>
    <row r="55" spans="2:13" x14ac:dyDescent="0.35">
      <c r="B55" s="2"/>
      <c r="C55" s="1"/>
      <c r="D55" s="1"/>
      <c r="E55" s="1"/>
      <c r="F55" s="1"/>
      <c r="G55" s="1"/>
      <c r="H55" s="1"/>
      <c r="I55" s="1"/>
      <c r="J55" s="1"/>
      <c r="K55" s="1"/>
      <c r="L55" s="1"/>
      <c r="M55" s="1"/>
    </row>
    <row r="56" spans="2:13" x14ac:dyDescent="0.35">
      <c r="B56" s="2"/>
      <c r="C56" s="1"/>
      <c r="D56" s="1"/>
      <c r="E56" s="1"/>
      <c r="F56" s="1"/>
      <c r="G56" s="1"/>
      <c r="H56" s="1"/>
      <c r="I56" s="1"/>
      <c r="J56" s="1"/>
      <c r="K56" s="1"/>
      <c r="L56" s="1"/>
      <c r="M56" s="1"/>
    </row>
    <row r="57" spans="2:13" x14ac:dyDescent="0.35">
      <c r="B57" s="2"/>
      <c r="C57" s="1"/>
      <c r="D57" s="1"/>
      <c r="E57" s="1"/>
      <c r="F57" s="1"/>
      <c r="G57" s="1"/>
      <c r="H57" s="1"/>
      <c r="I57" s="1"/>
      <c r="J57" s="1"/>
      <c r="K57" s="1"/>
      <c r="L57" s="1"/>
      <c r="M57" s="1"/>
    </row>
  </sheetData>
  <mergeCells count="8">
    <mergeCell ref="B1:M1"/>
    <mergeCell ref="B5:M5"/>
    <mergeCell ref="B13:M13"/>
    <mergeCell ref="D23:J23"/>
    <mergeCell ref="B16:M16"/>
    <mergeCell ref="B8:M8"/>
    <mergeCell ref="C3:G3"/>
    <mergeCell ref="H3:M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733C30-36A9-4DEC-8CEB-F9D18E98F871}">
  <dimension ref="A1:M50"/>
  <sheetViews>
    <sheetView showGridLines="0" workbookViewId="0"/>
  </sheetViews>
  <sheetFormatPr defaultRowHeight="14" x14ac:dyDescent="0.3"/>
  <cols>
    <col min="1" max="1" width="1.6328125" style="33" customWidth="1"/>
    <col min="2" max="2" width="40.6328125" style="33" customWidth="1"/>
    <col min="3" max="13" width="11.36328125" style="33" customWidth="1"/>
    <col min="14" max="16384" width="8.7265625" style="33"/>
  </cols>
  <sheetData>
    <row r="1" spans="1:13" ht="25" customHeight="1" x14ac:dyDescent="0.3">
      <c r="A1" s="32"/>
      <c r="B1" s="96" t="s">
        <v>6</v>
      </c>
      <c r="C1" s="96"/>
      <c r="D1" s="96"/>
      <c r="E1" s="96"/>
      <c r="F1" s="96"/>
      <c r="G1" s="96"/>
      <c r="H1" s="96"/>
      <c r="I1" s="96"/>
      <c r="J1" s="96"/>
      <c r="K1" s="96"/>
      <c r="L1" s="96"/>
      <c r="M1" s="96"/>
    </row>
    <row r="2" spans="1:13" x14ac:dyDescent="0.3">
      <c r="A2" s="32"/>
      <c r="M2" s="52" t="s">
        <v>7</v>
      </c>
    </row>
    <row r="3" spans="1:13" x14ac:dyDescent="0.3">
      <c r="A3" s="32"/>
      <c r="C3" s="95" t="s">
        <v>0</v>
      </c>
      <c r="D3" s="95"/>
      <c r="E3" s="95"/>
      <c r="F3" s="95"/>
      <c r="G3" s="95"/>
      <c r="H3" s="95" t="s">
        <v>1</v>
      </c>
      <c r="I3" s="95"/>
      <c r="J3" s="95"/>
      <c r="K3" s="95"/>
      <c r="L3" s="95"/>
      <c r="M3" s="95"/>
    </row>
    <row r="4" spans="1:13" x14ac:dyDescent="0.3">
      <c r="A4" s="32"/>
      <c r="B4" s="34" t="s">
        <v>8</v>
      </c>
      <c r="C4" s="10">
        <v>2021</v>
      </c>
      <c r="D4" s="10">
        <v>2022</v>
      </c>
      <c r="E4" s="10">
        <v>2023</v>
      </c>
      <c r="F4" s="10">
        <v>2024</v>
      </c>
      <c r="G4" s="10">
        <v>2025</v>
      </c>
      <c r="H4" s="10">
        <v>2026</v>
      </c>
      <c r="I4" s="10">
        <v>2027</v>
      </c>
      <c r="J4" s="10">
        <v>2028</v>
      </c>
      <c r="K4" s="10">
        <v>2029</v>
      </c>
      <c r="L4" s="10">
        <v>2030</v>
      </c>
      <c r="M4" s="10">
        <v>2031</v>
      </c>
    </row>
    <row r="5" spans="1:13" s="32" customFormat="1" x14ac:dyDescent="0.3">
      <c r="B5" s="39" t="s">
        <v>106</v>
      </c>
      <c r="C5" s="40"/>
      <c r="D5" s="40"/>
      <c r="E5" s="40"/>
      <c r="F5" s="40"/>
      <c r="G5" s="40"/>
      <c r="H5" s="92">
        <f>'Income Statement'!H13</f>
        <v>1887.715499999998</v>
      </c>
      <c r="I5" s="92">
        <f>'Income Statement'!I13</f>
        <v>2491.7844599999989</v>
      </c>
      <c r="J5" s="92">
        <f>'Income Statement'!J13</f>
        <v>2716.0450614000033</v>
      </c>
      <c r="K5" s="92">
        <f>'Income Statement'!K13</f>
        <v>3453.9039697470025</v>
      </c>
      <c r="L5" s="92">
        <f>'Income Statement'!L13</f>
        <v>3730.2162873267616</v>
      </c>
      <c r="M5" s="92">
        <f>'Income Statement'!M13</f>
        <v>4604.1526746433183</v>
      </c>
    </row>
    <row r="6" spans="1:13" s="32" customFormat="1" x14ac:dyDescent="0.3">
      <c r="B6" s="37" t="s">
        <v>107</v>
      </c>
      <c r="C6" s="36"/>
      <c r="D6" s="36"/>
      <c r="E6" s="36"/>
      <c r="F6" s="36"/>
      <c r="G6" s="36"/>
      <c r="H6" s="67">
        <f>H5*Assumptions!H42</f>
        <v>471.92887499999949</v>
      </c>
      <c r="I6" s="67">
        <f>I5*Assumptions!I42</f>
        <v>622.94611499999974</v>
      </c>
      <c r="J6" s="67">
        <f>J5*Assumptions!J42</f>
        <v>679.01126535000083</v>
      </c>
      <c r="K6" s="67">
        <f>K5*Assumptions!K42</f>
        <v>863.47599243675063</v>
      </c>
      <c r="L6" s="67">
        <f>L5*Assumptions!L42</f>
        <v>932.55407183169041</v>
      </c>
      <c r="M6" s="67">
        <f>M5*Assumptions!M42</f>
        <v>1151.0381686608296</v>
      </c>
    </row>
    <row r="7" spans="1:13" s="32" customFormat="1" x14ac:dyDescent="0.3">
      <c r="B7" s="39" t="s">
        <v>108</v>
      </c>
      <c r="C7" s="40"/>
      <c r="D7" s="40"/>
      <c r="E7" s="40"/>
      <c r="F7" s="40"/>
      <c r="G7" s="40"/>
      <c r="H7" s="69">
        <f>H5-H6</f>
        <v>1415.7866249999984</v>
      </c>
      <c r="I7" s="69">
        <f t="shared" ref="I7:M7" si="0">I5-I6</f>
        <v>1868.8383449999992</v>
      </c>
      <c r="J7" s="69">
        <f t="shared" si="0"/>
        <v>2037.0337960500024</v>
      </c>
      <c r="K7" s="69">
        <f t="shared" si="0"/>
        <v>2590.4279773102517</v>
      </c>
      <c r="L7" s="69">
        <f t="shared" si="0"/>
        <v>2797.662215495071</v>
      </c>
      <c r="M7" s="69">
        <f t="shared" si="0"/>
        <v>3453.1145059824885</v>
      </c>
    </row>
    <row r="8" spans="1:13" s="32" customFormat="1" x14ac:dyDescent="0.3">
      <c r="B8" s="37" t="s">
        <v>83</v>
      </c>
      <c r="C8" s="36"/>
      <c r="D8" s="36"/>
      <c r="E8" s="36"/>
      <c r="F8" s="36"/>
      <c r="G8" s="36"/>
      <c r="H8" s="91">
        <f>'Income Statement'!H12</f>
        <v>755.08620000000008</v>
      </c>
      <c r="I8" s="91">
        <f>'Income Statement'!I12</f>
        <v>830.59482000000025</v>
      </c>
      <c r="J8" s="91">
        <f>'Income Statement'!J12</f>
        <v>905.34835380000038</v>
      </c>
      <c r="K8" s="91">
        <f>'Income Statement'!K12</f>
        <v>986.82970564200048</v>
      </c>
      <c r="L8" s="91">
        <f>'Income Statement'!L12</f>
        <v>1065.7760820933606</v>
      </c>
      <c r="M8" s="91">
        <f>'Income Statement'!M12</f>
        <v>1151.0381686608296</v>
      </c>
    </row>
    <row r="9" spans="1:13" s="32" customFormat="1" x14ac:dyDescent="0.3">
      <c r="B9" s="37" t="s">
        <v>109</v>
      </c>
      <c r="C9" s="36"/>
      <c r="D9" s="36"/>
      <c r="E9" s="36"/>
      <c r="F9" s="36"/>
      <c r="G9" s="36"/>
      <c r="H9" s="91">
        <f>-'Cash Flow Statement'!H14</f>
        <v>1132.6293000000001</v>
      </c>
      <c r="I9" s="91">
        <f>-'Cash Flow Statement'!I14</f>
        <v>1245.8922300000002</v>
      </c>
      <c r="J9" s="91">
        <f>-'Cash Flow Statement'!J14</f>
        <v>1358.0225307000005</v>
      </c>
      <c r="K9" s="91">
        <f>-'Cash Flow Statement'!K14</f>
        <v>1480.2445584630007</v>
      </c>
      <c r="L9" s="91">
        <f>-'Cash Flow Statement'!L14</f>
        <v>1598.6641231400408</v>
      </c>
      <c r="M9" s="91">
        <f>-'Cash Flow Statement'!M14</f>
        <v>1726.5572529912442</v>
      </c>
    </row>
    <row r="10" spans="1:13" s="32" customFormat="1" x14ac:dyDescent="0.3">
      <c r="B10" s="37" t="s">
        <v>110</v>
      </c>
      <c r="C10" s="36"/>
      <c r="D10" s="36"/>
      <c r="E10" s="36"/>
      <c r="F10" s="36"/>
      <c r="G10" s="36"/>
      <c r="H10" s="67">
        <f>SUM('Cash Flow Statement'!H9:H11)</f>
        <v>-1034.8658561643842</v>
      </c>
      <c r="I10" s="67">
        <f>SUM('Cash Flow Statement'!I9:I11)</f>
        <v>-627.23872832876759</v>
      </c>
      <c r="J10" s="67">
        <f>SUM('Cash Flow Statement'!J9:J11)</f>
        <v>-549.17109016602853</v>
      </c>
      <c r="K10" s="67">
        <f>SUM('Cash Flow Statement'!K9:K11)</f>
        <v>-653.67391347584589</v>
      </c>
      <c r="L10" s="67">
        <f>SUM('Cash Flow Statement'!L9:L11)</f>
        <v>-548.62324347637013</v>
      </c>
      <c r="M10" s="67">
        <f>SUM('Cash Flow Statement'!M9:M11)</f>
        <v>-500.41836972372676</v>
      </c>
    </row>
    <row r="11" spans="1:13" s="32" customFormat="1" x14ac:dyDescent="0.3">
      <c r="B11" s="39" t="s">
        <v>111</v>
      </c>
      <c r="C11" s="40"/>
      <c r="D11" s="40"/>
      <c r="E11" s="40"/>
      <c r="F11" s="40"/>
      <c r="G11" s="40"/>
      <c r="H11" s="69">
        <f>H7+H8-H9-H10</f>
        <v>2073.1093811643827</v>
      </c>
      <c r="I11" s="69">
        <f t="shared" ref="I11:M11" si="1">I7+I8-I9-I10</f>
        <v>2080.7796633287671</v>
      </c>
      <c r="J11" s="69">
        <f t="shared" si="1"/>
        <v>2133.5307093160309</v>
      </c>
      <c r="K11" s="69">
        <f t="shared" si="1"/>
        <v>2750.6870379650977</v>
      </c>
      <c r="L11" s="69">
        <f t="shared" si="1"/>
        <v>2813.3974179247612</v>
      </c>
      <c r="M11" s="69">
        <f t="shared" si="1"/>
        <v>3378.0137913758008</v>
      </c>
    </row>
    <row r="12" spans="1:13" s="32" customFormat="1" x14ac:dyDescent="0.3">
      <c r="B12" s="37" t="s">
        <v>196</v>
      </c>
      <c r="C12" s="40"/>
      <c r="D12" s="40"/>
      <c r="E12" s="40"/>
      <c r="F12" s="40"/>
      <c r="G12" s="40"/>
      <c r="H12" s="86">
        <v>0.5</v>
      </c>
      <c r="I12" s="86">
        <f>H12+1</f>
        <v>1.5</v>
      </c>
      <c r="J12" s="86">
        <f t="shared" ref="J12:M12" si="2">I12+1</f>
        <v>2.5</v>
      </c>
      <c r="K12" s="86">
        <f t="shared" si="2"/>
        <v>3.5</v>
      </c>
      <c r="L12" s="86">
        <f t="shared" si="2"/>
        <v>4.5</v>
      </c>
      <c r="M12" s="86">
        <f t="shared" si="2"/>
        <v>5.5</v>
      </c>
    </row>
    <row r="13" spans="1:13" s="32" customFormat="1" x14ac:dyDescent="0.3">
      <c r="B13" s="37" t="s">
        <v>122</v>
      </c>
      <c r="C13" s="36"/>
      <c r="D13" s="36"/>
      <c r="E13" s="36"/>
      <c r="F13" s="36"/>
      <c r="G13" s="36"/>
      <c r="H13" s="41">
        <f>(1+$C$25)^H12</f>
        <v>1.0637668917577761</v>
      </c>
      <c r="I13" s="41">
        <f t="shared" ref="I13:M13" si="3">(1+$C$25)^I12</f>
        <v>1.2037586147130992</v>
      </c>
      <c r="J13" s="41">
        <f t="shared" si="3"/>
        <v>1.3621732484093432</v>
      </c>
      <c r="K13" s="41">
        <f t="shared" si="3"/>
        <v>1.5414352479000124</v>
      </c>
      <c r="L13" s="41">
        <f t="shared" si="3"/>
        <v>1.7442881265236541</v>
      </c>
      <c r="M13" s="41">
        <f t="shared" si="3"/>
        <v>1.9738364439741669</v>
      </c>
    </row>
    <row r="14" spans="1:13" s="32" customFormat="1" x14ac:dyDescent="0.3">
      <c r="B14" s="37" t="s">
        <v>123</v>
      </c>
      <c r="C14" s="36"/>
      <c r="D14" s="36"/>
      <c r="E14" s="36"/>
      <c r="F14" s="36"/>
      <c r="G14" s="36"/>
      <c r="H14" s="67">
        <f>H11/H13</f>
        <v>1948.8380370052332</v>
      </c>
      <c r="I14" s="67">
        <f t="shared" ref="I14:M14" si="4">I11/I13</f>
        <v>1728.5688657976457</v>
      </c>
      <c r="J14" s="67">
        <f t="shared" si="4"/>
        <v>1566.2697177524433</v>
      </c>
      <c r="K14" s="67">
        <f t="shared" si="4"/>
        <v>1784.4972999757986</v>
      </c>
      <c r="L14" s="67">
        <f t="shared" si="4"/>
        <v>1612.9201220510681</v>
      </c>
      <c r="M14" s="67">
        <f t="shared" si="4"/>
        <v>1711.3949849737455</v>
      </c>
    </row>
    <row r="15" spans="1:13" s="32" customFormat="1" x14ac:dyDescent="0.3">
      <c r="B15" s="42"/>
      <c r="C15" s="43"/>
      <c r="D15" s="43"/>
      <c r="E15" s="43"/>
      <c r="F15" s="43"/>
      <c r="G15" s="43"/>
      <c r="H15" s="43"/>
      <c r="I15" s="43"/>
      <c r="J15" s="43"/>
      <c r="K15" s="43"/>
      <c r="L15" s="43"/>
      <c r="M15" s="43"/>
    </row>
    <row r="16" spans="1:13" s="32" customFormat="1" ht="14.5" customHeight="1" x14ac:dyDescent="0.35">
      <c r="B16" s="37" t="s">
        <v>112</v>
      </c>
      <c r="C16" s="87">
        <v>7.0000000000000007E-2</v>
      </c>
      <c r="D16" s="74"/>
      <c r="E16" s="99" t="s">
        <v>198</v>
      </c>
      <c r="F16" s="99"/>
      <c r="G16" s="99"/>
      <c r="H16" s="99"/>
      <c r="I16" s="73"/>
      <c r="J16" s="73"/>
      <c r="K16" s="73"/>
      <c r="L16" s="73"/>
      <c r="M16" s="73"/>
    </row>
    <row r="17" spans="2:13" s="32" customFormat="1" ht="14.5" customHeight="1" x14ac:dyDescent="0.3">
      <c r="B17" s="37" t="s">
        <v>113</v>
      </c>
      <c r="C17" s="87">
        <v>0.06</v>
      </c>
      <c r="D17" s="45"/>
      <c r="E17" s="98" t="s">
        <v>199</v>
      </c>
      <c r="F17" s="98"/>
      <c r="G17" s="98"/>
      <c r="H17" s="82">
        <v>12</v>
      </c>
      <c r="I17" s="45"/>
      <c r="J17" s="45"/>
      <c r="K17" s="45"/>
      <c r="L17" s="45"/>
      <c r="M17" s="45"/>
    </row>
    <row r="18" spans="2:13" s="32" customFormat="1" ht="14.5" customHeight="1" x14ac:dyDescent="0.3">
      <c r="B18" s="37" t="s">
        <v>114</v>
      </c>
      <c r="C18" s="88">
        <v>1.2</v>
      </c>
      <c r="D18" s="45"/>
      <c r="E18" s="98" t="s">
        <v>200</v>
      </c>
      <c r="F18" s="98"/>
      <c r="G18" s="98"/>
      <c r="H18" s="67">
        <f>'Income Statement'!M11</f>
        <v>5755.1908433041481</v>
      </c>
      <c r="I18" s="45"/>
      <c r="J18" s="45"/>
      <c r="K18" s="45"/>
      <c r="L18" s="45"/>
      <c r="M18" s="45"/>
    </row>
    <row r="19" spans="2:13" s="32" customFormat="1" ht="14.5" customHeight="1" x14ac:dyDescent="0.3">
      <c r="B19" s="37" t="s">
        <v>115</v>
      </c>
      <c r="C19" s="46">
        <f>(C16)+(C18*C17)</f>
        <v>0.14200000000000002</v>
      </c>
      <c r="D19" s="45"/>
      <c r="E19" s="98" t="s">
        <v>201</v>
      </c>
      <c r="F19" s="98"/>
      <c r="G19" s="98"/>
      <c r="H19" s="67">
        <f>H17*'Income Statement'!M11</f>
        <v>69062.290119649784</v>
      </c>
      <c r="I19" s="45"/>
      <c r="J19" s="45"/>
      <c r="K19" s="45"/>
      <c r="L19" s="45"/>
      <c r="M19" s="45"/>
    </row>
    <row r="20" spans="2:13" s="32" customFormat="1" ht="14.5" customHeight="1" x14ac:dyDescent="0.3">
      <c r="B20" s="37" t="s">
        <v>116</v>
      </c>
      <c r="C20" s="93">
        <f>Assumptions!H33</f>
        <v>0.12</v>
      </c>
      <c r="D20" s="45"/>
      <c r="E20" s="98" t="s">
        <v>202</v>
      </c>
      <c r="F20" s="98"/>
      <c r="G20" s="98"/>
      <c r="H20" s="67">
        <f>H19/M13</f>
        <v>34988.861579938311</v>
      </c>
      <c r="I20" s="45"/>
      <c r="J20" s="45"/>
      <c r="K20" s="45"/>
      <c r="L20" s="45"/>
      <c r="M20" s="45"/>
    </row>
    <row r="21" spans="2:13" s="32" customFormat="1" ht="14.5" customHeight="1" x14ac:dyDescent="0.3">
      <c r="B21" s="37" t="s">
        <v>117</v>
      </c>
      <c r="C21" s="93">
        <f>Assumptions!H42</f>
        <v>0.25</v>
      </c>
      <c r="D21" s="45"/>
      <c r="E21" s="98" t="s">
        <v>203</v>
      </c>
      <c r="F21" s="98"/>
      <c r="G21" s="98"/>
      <c r="H21" s="67">
        <f>C27+H20</f>
        <v>45341.350607494242</v>
      </c>
      <c r="I21" s="45"/>
      <c r="J21" s="45"/>
      <c r="K21" s="45"/>
      <c r="L21" s="45"/>
      <c r="M21" s="45"/>
    </row>
    <row r="22" spans="2:13" s="32" customFormat="1" ht="14.5" customHeight="1" x14ac:dyDescent="0.3">
      <c r="B22" s="37" t="s">
        <v>118</v>
      </c>
      <c r="C22" s="46">
        <f>C20*(1-C21)</f>
        <v>0.09</v>
      </c>
      <c r="D22" s="45"/>
      <c r="E22" s="98" t="s">
        <v>129</v>
      </c>
      <c r="F22" s="98"/>
      <c r="G22" s="98"/>
      <c r="H22" s="91">
        <f>Assumptions!M31</f>
        <v>6154.9</v>
      </c>
      <c r="I22" s="45"/>
      <c r="J22" s="45"/>
      <c r="K22" s="45"/>
      <c r="L22" s="45"/>
      <c r="M22" s="45"/>
    </row>
    <row r="23" spans="2:13" s="32" customFormat="1" ht="14.5" customHeight="1" x14ac:dyDescent="0.3">
      <c r="B23" s="37" t="s">
        <v>119</v>
      </c>
      <c r="C23" s="87">
        <v>0.8</v>
      </c>
      <c r="D23" s="45"/>
      <c r="E23" s="98" t="s">
        <v>130</v>
      </c>
      <c r="F23" s="98"/>
      <c r="G23" s="98"/>
      <c r="H23" s="91">
        <f>'Balance Sheet'!G14</f>
        <v>118.9</v>
      </c>
      <c r="I23" s="45"/>
      <c r="J23" s="45"/>
      <c r="K23" s="45"/>
      <c r="L23" s="45"/>
      <c r="M23" s="45"/>
    </row>
    <row r="24" spans="2:13" s="32" customFormat="1" ht="14.5" customHeight="1" x14ac:dyDescent="0.3">
      <c r="B24" s="37" t="s">
        <v>120</v>
      </c>
      <c r="C24" s="87">
        <v>0.2</v>
      </c>
      <c r="D24" s="45"/>
      <c r="E24" s="98" t="s">
        <v>204</v>
      </c>
      <c r="F24" s="98"/>
      <c r="G24" s="98"/>
      <c r="H24" s="67">
        <f>H21-H22+H23</f>
        <v>39305.350607494242</v>
      </c>
      <c r="I24" s="45"/>
      <c r="J24" s="45"/>
      <c r="K24" s="45"/>
      <c r="L24" s="45"/>
      <c r="M24" s="45"/>
    </row>
    <row r="25" spans="2:13" s="32" customFormat="1" ht="14.5" customHeight="1" x14ac:dyDescent="0.3">
      <c r="B25" s="37" t="s">
        <v>121</v>
      </c>
      <c r="C25" s="46">
        <f>(C19*C23)+(C22*C24)</f>
        <v>0.13160000000000002</v>
      </c>
      <c r="D25" s="45"/>
      <c r="E25" s="98" t="s">
        <v>205</v>
      </c>
      <c r="F25" s="98"/>
      <c r="G25" s="98"/>
      <c r="H25" s="67">
        <f>H24/C36</f>
        <v>329.74287422394497</v>
      </c>
      <c r="I25" s="45"/>
      <c r="J25" s="45"/>
      <c r="K25" s="45"/>
      <c r="L25" s="45"/>
      <c r="M25" s="45"/>
    </row>
    <row r="26" spans="2:13" s="32" customFormat="1" x14ac:dyDescent="0.3">
      <c r="B26" s="37"/>
      <c r="C26" s="36"/>
      <c r="D26" s="45"/>
      <c r="E26" s="45"/>
      <c r="F26" s="45"/>
      <c r="G26" s="45"/>
      <c r="H26" s="45"/>
      <c r="I26" s="45"/>
      <c r="J26" s="45"/>
      <c r="K26" s="45"/>
      <c r="L26" s="45"/>
      <c r="M26" s="45"/>
    </row>
    <row r="27" spans="2:13" s="32" customFormat="1" x14ac:dyDescent="0.3">
      <c r="B27" s="37" t="s">
        <v>124</v>
      </c>
      <c r="C27" s="67">
        <f>SUM(H14:M14)</f>
        <v>10352.489027555934</v>
      </c>
      <c r="D27" s="45"/>
      <c r="E27" s="45"/>
      <c r="F27" s="45"/>
      <c r="G27" s="45"/>
      <c r="H27" s="45"/>
      <c r="I27" s="45"/>
      <c r="J27" s="45"/>
      <c r="K27" s="45"/>
      <c r="L27" s="45"/>
      <c r="M27" s="45"/>
    </row>
    <row r="28" spans="2:13" s="32" customFormat="1" x14ac:dyDescent="0.3">
      <c r="B28" s="37" t="s">
        <v>125</v>
      </c>
      <c r="C28" s="47">
        <v>0.05</v>
      </c>
      <c r="D28" s="45"/>
      <c r="E28" s="45"/>
      <c r="F28" s="45"/>
      <c r="G28" s="45"/>
      <c r="H28" s="45"/>
      <c r="I28" s="45"/>
      <c r="J28" s="45"/>
      <c r="K28" s="45"/>
      <c r="L28" s="45"/>
      <c r="M28" s="45"/>
    </row>
    <row r="29" spans="2:13" s="32" customFormat="1" x14ac:dyDescent="0.3">
      <c r="B29" s="37" t="s">
        <v>126</v>
      </c>
      <c r="C29" s="67">
        <f>M11*(1+C28)/(C25-C28)</f>
        <v>43467.089227262135</v>
      </c>
      <c r="D29" s="45"/>
      <c r="E29" s="45"/>
      <c r="F29" s="45"/>
      <c r="G29" s="45"/>
      <c r="H29" s="45"/>
      <c r="I29" s="45"/>
      <c r="J29" s="45"/>
      <c r="K29" s="45"/>
      <c r="L29" s="45"/>
      <c r="M29" s="45"/>
    </row>
    <row r="30" spans="2:13" s="32" customFormat="1" x14ac:dyDescent="0.3">
      <c r="B30" s="37" t="s">
        <v>197</v>
      </c>
      <c r="C30" s="72">
        <f>C29/('Income Statement'!M13+Assumptions!M24)</f>
        <v>7.5526755603306768</v>
      </c>
      <c r="D30" s="45"/>
      <c r="E30" s="45"/>
      <c r="F30" s="45"/>
      <c r="G30" s="45"/>
      <c r="H30" s="45"/>
      <c r="I30" s="45"/>
      <c r="J30" s="45"/>
      <c r="K30" s="45"/>
      <c r="L30" s="45"/>
      <c r="M30" s="45"/>
    </row>
    <row r="31" spans="2:13" s="32" customFormat="1" x14ac:dyDescent="0.3">
      <c r="B31" s="37" t="s">
        <v>127</v>
      </c>
      <c r="C31" s="67">
        <f>C29/M13</f>
        <v>22021.626644882752</v>
      </c>
      <c r="D31" s="45"/>
      <c r="E31" s="67"/>
      <c r="F31" s="45"/>
      <c r="G31" s="45"/>
      <c r="H31" s="45"/>
      <c r="I31" s="45"/>
      <c r="J31" s="45"/>
      <c r="K31" s="45"/>
      <c r="L31" s="45"/>
      <c r="M31" s="45"/>
    </row>
    <row r="32" spans="2:13" s="32" customFormat="1" x14ac:dyDescent="0.3">
      <c r="B32" s="37" t="s">
        <v>128</v>
      </c>
      <c r="C32" s="67">
        <f>C27+C31</f>
        <v>32374.115672438686</v>
      </c>
      <c r="D32" s="45"/>
      <c r="E32" s="45"/>
      <c r="F32" s="45"/>
      <c r="G32" s="45"/>
      <c r="H32" s="45"/>
      <c r="I32" s="45"/>
      <c r="J32" s="45"/>
      <c r="K32" s="45"/>
      <c r="L32" s="45"/>
      <c r="M32" s="45"/>
    </row>
    <row r="33" spans="1:13" s="32" customFormat="1" x14ac:dyDescent="0.3">
      <c r="B33" s="37" t="s">
        <v>129</v>
      </c>
      <c r="C33" s="67">
        <f>Assumptions!G31</f>
        <v>6154.9</v>
      </c>
      <c r="D33" s="45"/>
      <c r="E33" s="45"/>
      <c r="F33" s="45"/>
      <c r="G33" s="45"/>
      <c r="H33" s="45"/>
      <c r="I33" s="45"/>
      <c r="J33" s="45"/>
      <c r="K33" s="45"/>
      <c r="L33" s="45"/>
      <c r="M33" s="45"/>
    </row>
    <row r="34" spans="1:13" s="32" customFormat="1" x14ac:dyDescent="0.3">
      <c r="B34" s="37" t="s">
        <v>130</v>
      </c>
      <c r="C34" s="67">
        <f>'Balance Sheet'!G14</f>
        <v>118.9</v>
      </c>
      <c r="D34" s="45"/>
      <c r="E34" s="45"/>
      <c r="F34" s="45"/>
      <c r="G34" s="45"/>
      <c r="H34" s="45"/>
      <c r="I34" s="45"/>
      <c r="J34" s="45"/>
      <c r="K34" s="45"/>
      <c r="L34" s="45"/>
      <c r="M34" s="45"/>
    </row>
    <row r="35" spans="1:13" s="32" customFormat="1" x14ac:dyDescent="0.3">
      <c r="B35" s="37" t="s">
        <v>131</v>
      </c>
      <c r="C35" s="67">
        <f>C32-C33+C34</f>
        <v>26338.115672438689</v>
      </c>
      <c r="D35" s="45"/>
      <c r="E35" s="45"/>
      <c r="F35" s="45"/>
      <c r="G35" s="45"/>
      <c r="H35" s="45"/>
      <c r="I35" s="45"/>
      <c r="J35" s="45"/>
      <c r="K35" s="45"/>
      <c r="L35" s="45"/>
      <c r="M35" s="45"/>
    </row>
    <row r="36" spans="1:13" s="32" customFormat="1" x14ac:dyDescent="0.3">
      <c r="B36" s="37" t="s">
        <v>176</v>
      </c>
      <c r="C36" s="38">
        <v>119.2</v>
      </c>
      <c r="D36" s="48"/>
      <c r="E36" s="43"/>
      <c r="F36" s="43"/>
      <c r="G36" s="43"/>
      <c r="H36" s="43"/>
      <c r="I36" s="43"/>
      <c r="J36" s="43"/>
      <c r="K36" s="43"/>
      <c r="L36" s="43"/>
      <c r="M36" s="43"/>
    </row>
    <row r="37" spans="1:13" s="32" customFormat="1" ht="37.5" x14ac:dyDescent="0.3">
      <c r="B37" s="37" t="s">
        <v>133</v>
      </c>
      <c r="C37" s="67">
        <f>C35/C36</f>
        <v>220.95734624529101</v>
      </c>
      <c r="D37" s="37" t="s">
        <v>155</v>
      </c>
      <c r="E37" s="67">
        <f ca="1">Cover!H10</f>
        <v>222.66</v>
      </c>
      <c r="F37" s="37" t="s">
        <v>156</v>
      </c>
      <c r="G37" s="44">
        <f ca="1">(C37/E37)-1</f>
        <v>-7.646877547421993E-3</v>
      </c>
      <c r="H37" s="45"/>
      <c r="I37" s="45"/>
      <c r="J37" s="45"/>
      <c r="K37" s="45"/>
      <c r="L37" s="45"/>
      <c r="M37" s="45"/>
    </row>
    <row r="38" spans="1:13" s="32" customFormat="1" x14ac:dyDescent="0.3">
      <c r="B38" s="33"/>
      <c r="C38" s="33"/>
      <c r="D38" s="33"/>
      <c r="E38" s="33"/>
      <c r="F38" s="33"/>
      <c r="G38" s="33"/>
      <c r="H38" s="33"/>
      <c r="I38" s="33"/>
      <c r="J38" s="33"/>
      <c r="K38" s="33"/>
      <c r="L38" s="33"/>
      <c r="M38" s="33"/>
    </row>
    <row r="39" spans="1:13" s="32" customFormat="1" ht="25" customHeight="1" x14ac:dyDescent="0.3">
      <c r="B39" s="97" t="s">
        <v>179</v>
      </c>
      <c r="C39" s="97"/>
      <c r="D39" s="97"/>
      <c r="E39" s="97"/>
      <c r="F39" s="97"/>
      <c r="G39" s="97"/>
      <c r="H39" s="97"/>
      <c r="I39" s="97"/>
      <c r="J39" s="97"/>
      <c r="K39" s="97"/>
      <c r="L39" s="97"/>
      <c r="M39" s="97"/>
    </row>
    <row r="40" spans="1:13" s="32" customFormat="1" x14ac:dyDescent="0.3">
      <c r="B40" s="35"/>
      <c r="C40" s="49">
        <f>C37</f>
        <v>220.95734624529101</v>
      </c>
      <c r="D40" s="50">
        <v>0.03</v>
      </c>
      <c r="E40" s="50">
        <v>0.04</v>
      </c>
      <c r="F40" s="50">
        <v>0.05</v>
      </c>
      <c r="G40" s="50">
        <v>0.06</v>
      </c>
      <c r="H40" s="50">
        <v>7.0000000000000007E-2</v>
      </c>
      <c r="I40" s="33"/>
      <c r="J40" s="33"/>
      <c r="K40" s="33"/>
      <c r="L40" s="33"/>
      <c r="M40" s="33"/>
    </row>
    <row r="41" spans="1:13" s="32" customFormat="1" x14ac:dyDescent="0.3">
      <c r="B41" s="33"/>
      <c r="C41" s="50">
        <v>0.11</v>
      </c>
      <c r="D41" s="51">
        <f t="dataTable" ref="D41:H45" dt2D="1" dtr="1" r1="C28" r2="C25"/>
        <v>246.8413253843317</v>
      </c>
      <c r="E41" s="51">
        <v>278.48185405603647</v>
      </c>
      <c r="F41" s="51">
        <v>320.66922561830967</v>
      </c>
      <c r="G41" s="51">
        <v>379.73154580549192</v>
      </c>
      <c r="H41" s="51">
        <v>468.32502608626567</v>
      </c>
      <c r="I41" s="33"/>
      <c r="J41" s="33"/>
      <c r="K41" s="33"/>
      <c r="L41" s="33"/>
      <c r="M41" s="33"/>
    </row>
    <row r="42" spans="1:13" s="32" customFormat="1" x14ac:dyDescent="0.3">
      <c r="B42" s="33"/>
      <c r="C42" s="50">
        <v>0.12</v>
      </c>
      <c r="D42" s="51">
        <v>212.78688692469331</v>
      </c>
      <c r="E42" s="51">
        <v>236.42275539165894</v>
      </c>
      <c r="F42" s="51">
        <v>266.81172913490047</v>
      </c>
      <c r="G42" s="51">
        <v>307.33036079255584</v>
      </c>
      <c r="H42" s="51">
        <v>364.05644511327341</v>
      </c>
      <c r="I42" s="33"/>
      <c r="J42" s="33"/>
      <c r="K42" s="33"/>
      <c r="L42" s="33"/>
      <c r="M42" s="33"/>
    </row>
    <row r="43" spans="1:13" s="32" customFormat="1" x14ac:dyDescent="0.3">
      <c r="B43" s="33"/>
      <c r="C43" s="50">
        <v>0.13600000000000001</v>
      </c>
      <c r="D43" s="51">
        <v>171.79384791589209</v>
      </c>
      <c r="E43" s="51">
        <v>187.48322038710151</v>
      </c>
      <c r="F43" s="51">
        <v>206.82128413068514</v>
      </c>
      <c r="G43" s="51">
        <v>231.24831201731718</v>
      </c>
      <c r="H43" s="51">
        <v>263.0774695665649</v>
      </c>
      <c r="I43" s="33"/>
      <c r="J43" s="33"/>
      <c r="K43" s="33"/>
      <c r="L43" s="33"/>
      <c r="M43" s="33"/>
    </row>
    <row r="44" spans="1:13" s="32" customFormat="1" x14ac:dyDescent="0.3">
      <c r="B44" s="33"/>
      <c r="C44" s="50">
        <v>0.15</v>
      </c>
      <c r="D44" s="51">
        <v>144.99949029470329</v>
      </c>
      <c r="E44" s="51">
        <v>156.44594384181588</v>
      </c>
      <c r="F44" s="51">
        <v>170.18168809835089</v>
      </c>
      <c r="G44" s="51">
        <v>186.96981996744924</v>
      </c>
      <c r="H44" s="51">
        <v>207.95498480382219</v>
      </c>
      <c r="I44" s="33"/>
      <c r="J44" s="33"/>
      <c r="K44" s="33"/>
      <c r="L44" s="33"/>
      <c r="M44" s="33"/>
    </row>
    <row r="45" spans="1:13" s="32" customFormat="1" x14ac:dyDescent="0.3">
      <c r="B45" s="33"/>
      <c r="C45" s="50">
        <v>0.16</v>
      </c>
      <c r="D45" s="51">
        <v>129.44669609928002</v>
      </c>
      <c r="E45" s="51">
        <v>138.76205545176222</v>
      </c>
      <c r="F45" s="51">
        <v>149.7711165046957</v>
      </c>
      <c r="G45" s="51">
        <v>162.98198976821581</v>
      </c>
      <c r="H45" s="51">
        <v>179.12861264585158</v>
      </c>
      <c r="I45" s="33"/>
      <c r="J45" s="33"/>
      <c r="K45" s="33"/>
      <c r="L45" s="33"/>
      <c r="M45" s="33"/>
    </row>
    <row r="46" spans="1:13" s="32" customFormat="1" x14ac:dyDescent="0.3">
      <c r="B46" s="33"/>
      <c r="C46" s="33"/>
      <c r="D46" s="33"/>
      <c r="E46" s="33"/>
      <c r="F46" s="33"/>
      <c r="G46" s="33"/>
      <c r="H46" s="33"/>
      <c r="I46" s="33"/>
      <c r="J46" s="33"/>
      <c r="K46" s="33"/>
      <c r="L46" s="33"/>
      <c r="M46" s="33"/>
    </row>
    <row r="47" spans="1:13" s="32" customFormat="1" x14ac:dyDescent="0.3">
      <c r="B47" s="33"/>
      <c r="C47" s="33"/>
      <c r="D47" s="33"/>
      <c r="E47" s="33"/>
      <c r="F47" s="33"/>
      <c r="G47" s="33"/>
      <c r="H47" s="33"/>
      <c r="I47" s="33"/>
      <c r="J47" s="33"/>
      <c r="K47" s="33"/>
      <c r="L47" s="33"/>
      <c r="M47" s="33"/>
    </row>
    <row r="48" spans="1:13" s="32" customFormat="1" x14ac:dyDescent="0.3">
      <c r="A48" s="33"/>
      <c r="B48" s="33"/>
      <c r="C48" s="33"/>
      <c r="D48" s="33"/>
      <c r="E48" s="33"/>
      <c r="F48" s="33"/>
      <c r="G48" s="33"/>
      <c r="H48" s="33"/>
      <c r="I48" s="33"/>
      <c r="J48" s="33"/>
      <c r="K48" s="33"/>
      <c r="L48" s="33"/>
      <c r="M48" s="33"/>
    </row>
    <row r="49" spans="1:13" s="32" customFormat="1" x14ac:dyDescent="0.3">
      <c r="A49" s="33"/>
      <c r="B49" s="33"/>
      <c r="C49" s="33"/>
      <c r="D49" s="33"/>
      <c r="E49" s="33"/>
      <c r="F49" s="33"/>
      <c r="G49" s="33"/>
      <c r="H49" s="33"/>
      <c r="I49" s="33"/>
      <c r="J49" s="33"/>
      <c r="K49" s="33"/>
      <c r="L49" s="33"/>
      <c r="M49" s="33"/>
    </row>
    <row r="50" spans="1:13" s="32" customFormat="1" x14ac:dyDescent="0.3">
      <c r="A50" s="33"/>
      <c r="B50" s="33"/>
      <c r="C50" s="33"/>
      <c r="D50" s="33"/>
      <c r="E50" s="33"/>
      <c r="F50" s="33"/>
      <c r="G50" s="33"/>
      <c r="H50" s="33"/>
      <c r="I50" s="33"/>
      <c r="J50" s="33"/>
      <c r="K50" s="33"/>
      <c r="L50" s="33"/>
      <c r="M50" s="33"/>
    </row>
  </sheetData>
  <mergeCells count="14">
    <mergeCell ref="C3:G3"/>
    <mergeCell ref="H3:M3"/>
    <mergeCell ref="B1:M1"/>
    <mergeCell ref="B39:M39"/>
    <mergeCell ref="E17:G17"/>
    <mergeCell ref="E23:G23"/>
    <mergeCell ref="E24:G24"/>
    <mergeCell ref="E25:G25"/>
    <mergeCell ref="E16:H16"/>
    <mergeCell ref="E18:G18"/>
    <mergeCell ref="E19:G19"/>
    <mergeCell ref="E20:G20"/>
    <mergeCell ref="E21:G21"/>
    <mergeCell ref="E22:G22"/>
  </mergeCells>
  <conditionalFormatting sqref="D41:H45">
    <cfRule type="colorScale" priority="1">
      <colorScale>
        <cfvo type="min"/>
        <cfvo type="percentile" val="50"/>
        <cfvo type="max"/>
        <color rgb="FFF8696B"/>
        <color rgb="FFFFEB84"/>
        <color rgb="FF63BE7B"/>
      </colorScale>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C9B30D-E5C0-4F94-9E64-1389DB090215}">
  <dimension ref="B1:N22"/>
  <sheetViews>
    <sheetView showGridLines="0" zoomScaleNormal="100" workbookViewId="0"/>
  </sheetViews>
  <sheetFormatPr defaultRowHeight="14" x14ac:dyDescent="0.3"/>
  <cols>
    <col min="1" max="1" width="1.6328125" style="23" customWidth="1"/>
    <col min="2" max="2" width="20.6328125" style="23" customWidth="1"/>
    <col min="3" max="13" width="13.1796875" style="23" customWidth="1"/>
    <col min="14" max="16384" width="8.7265625" style="23"/>
  </cols>
  <sheetData>
    <row r="1" spans="2:14" ht="23" customHeight="1" x14ac:dyDescent="0.3">
      <c r="B1" s="96" t="s">
        <v>134</v>
      </c>
      <c r="C1" s="96"/>
      <c r="D1" s="96"/>
      <c r="E1" s="96"/>
      <c r="F1" s="96"/>
      <c r="G1" s="96"/>
      <c r="H1" s="96"/>
      <c r="I1" s="96"/>
      <c r="J1" s="96"/>
      <c r="K1" s="96"/>
      <c r="L1" s="96"/>
      <c r="M1" s="96"/>
      <c r="N1" s="61"/>
    </row>
    <row r="2" spans="2:14" x14ac:dyDescent="0.3">
      <c r="B2" s="118" t="s">
        <v>189</v>
      </c>
      <c r="C2" s="118" t="s">
        <v>190</v>
      </c>
      <c r="D2" s="118"/>
      <c r="E2" s="118"/>
      <c r="F2" s="118" t="s">
        <v>191</v>
      </c>
      <c r="G2" s="118" t="s">
        <v>192</v>
      </c>
      <c r="H2" s="118" t="s">
        <v>193</v>
      </c>
      <c r="I2" s="118"/>
      <c r="J2" s="118" t="s">
        <v>194</v>
      </c>
      <c r="K2" s="118"/>
      <c r="L2" s="118" t="s">
        <v>195</v>
      </c>
      <c r="M2" s="118"/>
    </row>
    <row r="3" spans="2:14" ht="14.5" customHeight="1" x14ac:dyDescent="0.3">
      <c r="B3" s="118"/>
      <c r="C3" s="118"/>
      <c r="D3" s="118"/>
      <c r="E3" s="118"/>
      <c r="F3" s="118"/>
      <c r="G3" s="118"/>
      <c r="H3" s="118"/>
      <c r="I3" s="118"/>
      <c r="J3" s="118"/>
      <c r="K3" s="118"/>
      <c r="L3" s="118"/>
      <c r="M3" s="118"/>
    </row>
    <row r="4" spans="2:14" x14ac:dyDescent="0.3">
      <c r="B4" s="118"/>
      <c r="C4" s="117" t="s">
        <v>135</v>
      </c>
      <c r="D4" s="117" t="s">
        <v>136</v>
      </c>
      <c r="E4" s="117" t="s">
        <v>137</v>
      </c>
      <c r="F4" s="117" t="s">
        <v>138</v>
      </c>
      <c r="G4" s="117" t="s">
        <v>128</v>
      </c>
      <c r="H4" s="117" t="s">
        <v>139</v>
      </c>
      <c r="I4" s="117" t="s">
        <v>69</v>
      </c>
      <c r="J4" s="117" t="s">
        <v>186</v>
      </c>
      <c r="K4" s="117" t="s">
        <v>188</v>
      </c>
      <c r="L4" s="117" t="s">
        <v>140</v>
      </c>
      <c r="M4" s="117" t="s">
        <v>141</v>
      </c>
    </row>
    <row r="5" spans="2:14" ht="16" customHeight="1" x14ac:dyDescent="0.3">
      <c r="B5" s="118"/>
      <c r="C5" s="117"/>
      <c r="D5" s="117"/>
      <c r="E5" s="117"/>
      <c r="F5" s="117"/>
      <c r="G5" s="117"/>
      <c r="H5" s="117"/>
      <c r="I5" s="117"/>
      <c r="J5" s="117"/>
      <c r="K5" s="117"/>
      <c r="L5" s="117"/>
      <c r="M5" s="117"/>
    </row>
    <row r="6" spans="2:14" ht="16" customHeight="1" x14ac:dyDescent="0.3">
      <c r="B6" s="118"/>
      <c r="C6" s="117"/>
      <c r="D6" s="117"/>
      <c r="E6" s="117"/>
      <c r="F6" s="117"/>
      <c r="G6" s="117"/>
      <c r="H6" s="117"/>
      <c r="I6" s="117"/>
      <c r="J6" s="117"/>
      <c r="K6" s="117"/>
      <c r="L6" s="117"/>
      <c r="M6" s="117"/>
    </row>
    <row r="7" spans="2:14" x14ac:dyDescent="0.3">
      <c r="B7" s="42" t="s">
        <v>182</v>
      </c>
      <c r="C7" s="81">
        <v>935</v>
      </c>
      <c r="D7" s="82">
        <v>222.72</v>
      </c>
      <c r="E7" s="62">
        <f>C7*D7</f>
        <v>208243.20000000001</v>
      </c>
      <c r="F7" s="81">
        <v>16300</v>
      </c>
      <c r="G7" s="62">
        <f>E7+F7</f>
        <v>224543.2</v>
      </c>
      <c r="H7" s="81">
        <v>95920</v>
      </c>
      <c r="I7" s="81">
        <v>10383</v>
      </c>
      <c r="J7" s="51">
        <f>G7/I7</f>
        <v>21.6260425695849</v>
      </c>
      <c r="K7" s="51">
        <f>G7/H7</f>
        <v>2.3409424520433695</v>
      </c>
      <c r="L7" s="51">
        <f>C7/M7</f>
        <v>54.077501445922501</v>
      </c>
      <c r="M7" s="83">
        <v>17.29</v>
      </c>
    </row>
    <row r="8" spans="2:14" x14ac:dyDescent="0.3">
      <c r="B8" s="42" t="s">
        <v>183</v>
      </c>
      <c r="C8" s="81">
        <v>358</v>
      </c>
      <c r="D8" s="82">
        <v>92.8</v>
      </c>
      <c r="E8" s="62">
        <f t="shared" ref="E8:E9" si="0">C8*D8</f>
        <v>33222.400000000001</v>
      </c>
      <c r="F8" s="81">
        <v>1240</v>
      </c>
      <c r="G8" s="62">
        <f t="shared" ref="G8:G9" si="1">E8+F8</f>
        <v>34462.400000000001</v>
      </c>
      <c r="H8" s="81">
        <v>44170</v>
      </c>
      <c r="I8" s="81">
        <v>2095</v>
      </c>
      <c r="J8" s="51">
        <f t="shared" ref="J8:J9" si="2">G8/I8</f>
        <v>16.44983293556086</v>
      </c>
      <c r="K8" s="51">
        <f t="shared" ref="K8:K9" si="3">G8/H8</f>
        <v>0.78022187004754362</v>
      </c>
      <c r="L8" s="51">
        <f t="shared" ref="L8:L9" si="4">C8/M8</f>
        <v>8.1419149420059131</v>
      </c>
      <c r="M8" s="83">
        <v>43.97</v>
      </c>
    </row>
    <row r="9" spans="2:14" x14ac:dyDescent="0.3">
      <c r="B9" s="42" t="s">
        <v>187</v>
      </c>
      <c r="C9" s="81">
        <v>1058</v>
      </c>
      <c r="D9" s="82">
        <v>60.33</v>
      </c>
      <c r="E9" s="62">
        <f t="shared" si="0"/>
        <v>63829.14</v>
      </c>
      <c r="F9" s="81">
        <v>5140</v>
      </c>
      <c r="G9" s="62">
        <f t="shared" si="1"/>
        <v>68969.14</v>
      </c>
      <c r="H9" s="81">
        <v>39600</v>
      </c>
      <c r="I9" s="81">
        <v>2888</v>
      </c>
      <c r="J9" s="51">
        <f t="shared" si="2"/>
        <v>23.881281163434902</v>
      </c>
      <c r="K9" s="51">
        <f t="shared" si="3"/>
        <v>1.7416449494949495</v>
      </c>
      <c r="L9" s="51">
        <f t="shared" si="4"/>
        <v>59.740259740259738</v>
      </c>
      <c r="M9" s="83">
        <v>17.71</v>
      </c>
    </row>
    <row r="10" spans="2:14" x14ac:dyDescent="0.3">
      <c r="B10" s="63"/>
      <c r="C10" s="63"/>
      <c r="D10" s="63"/>
      <c r="E10" s="63"/>
      <c r="F10" s="63"/>
      <c r="G10" s="63"/>
      <c r="H10" s="63"/>
      <c r="I10" s="63"/>
      <c r="J10" s="63"/>
      <c r="K10" s="63"/>
      <c r="L10" s="63"/>
      <c r="M10" s="63"/>
    </row>
    <row r="11" spans="2:14" x14ac:dyDescent="0.3">
      <c r="B11" s="53" t="s">
        <v>184</v>
      </c>
      <c r="C11" s="64"/>
      <c r="D11" s="64"/>
      <c r="E11" s="64"/>
      <c r="F11" s="64"/>
      <c r="G11" s="64"/>
      <c r="H11" s="64"/>
      <c r="I11" s="64"/>
      <c r="J11" s="65">
        <f>AVERAGE(J7:J9)</f>
        <v>20.652385556193554</v>
      </c>
      <c r="K11" s="65">
        <f t="shared" ref="K11:M11" si="5">AVERAGE(K7:K9)</f>
        <v>1.6209364238619541</v>
      </c>
      <c r="L11" s="65">
        <f t="shared" si="5"/>
        <v>40.653225376062714</v>
      </c>
      <c r="M11" s="65">
        <f t="shared" si="5"/>
        <v>26.323333333333334</v>
      </c>
    </row>
    <row r="12" spans="2:14" x14ac:dyDescent="0.3">
      <c r="B12" s="53" t="s">
        <v>185</v>
      </c>
      <c r="C12" s="64"/>
      <c r="D12" s="64"/>
      <c r="E12" s="64"/>
      <c r="F12" s="64"/>
      <c r="G12" s="64"/>
      <c r="H12" s="64"/>
      <c r="I12" s="64"/>
      <c r="J12" s="65">
        <f>MEDIAN(J7:J9)</f>
        <v>21.6260425695849</v>
      </c>
      <c r="K12" s="65">
        <f t="shared" ref="K12:M12" si="6">MEDIAN(K7:K9)</f>
        <v>1.7416449494949495</v>
      </c>
      <c r="L12" s="65">
        <f t="shared" si="6"/>
        <v>54.077501445922501</v>
      </c>
      <c r="M12" s="65">
        <f t="shared" si="6"/>
        <v>17.71</v>
      </c>
    </row>
    <row r="13" spans="2:14" x14ac:dyDescent="0.3">
      <c r="B13" s="63"/>
      <c r="C13" s="63"/>
      <c r="D13" s="63"/>
      <c r="E13" s="63"/>
      <c r="F13" s="63"/>
      <c r="G13" s="63"/>
      <c r="H13" s="63"/>
      <c r="I13" s="63"/>
      <c r="J13" s="63"/>
      <c r="K13" s="63"/>
      <c r="L13" s="63"/>
      <c r="M13" s="63"/>
    </row>
    <row r="14" spans="2:14" x14ac:dyDescent="0.3">
      <c r="B14" s="63"/>
      <c r="C14" s="63"/>
      <c r="D14" s="63"/>
      <c r="E14" s="63"/>
      <c r="F14" s="63"/>
      <c r="G14" s="63"/>
      <c r="H14" s="63"/>
      <c r="I14" s="63"/>
      <c r="J14" s="63"/>
      <c r="K14" s="63"/>
      <c r="L14" s="63"/>
      <c r="M14" s="63"/>
    </row>
    <row r="15" spans="2:14" ht="25" x14ac:dyDescent="0.3">
      <c r="B15" s="42" t="s">
        <v>142</v>
      </c>
      <c r="C15" s="51">
        <f>J11</f>
        <v>20.652385556193554</v>
      </c>
      <c r="D15" s="63"/>
      <c r="E15" s="63"/>
      <c r="F15" s="63"/>
      <c r="G15" s="63"/>
      <c r="H15" s="63"/>
      <c r="I15" s="63"/>
      <c r="J15" s="63"/>
      <c r="K15" s="63"/>
      <c r="L15" s="63"/>
      <c r="M15" s="63"/>
    </row>
    <row r="16" spans="2:14" ht="25" x14ac:dyDescent="0.3">
      <c r="B16" s="42" t="s">
        <v>143</v>
      </c>
      <c r="C16" s="94">
        <f>'Income Statement'!H11</f>
        <v>2642.8016999999982</v>
      </c>
      <c r="D16" s="63"/>
      <c r="E16" s="63"/>
      <c r="F16" s="63"/>
      <c r="G16" s="63"/>
      <c r="H16" s="63"/>
      <c r="I16" s="63"/>
      <c r="J16" s="63"/>
      <c r="K16" s="63"/>
      <c r="L16" s="63"/>
      <c r="M16" s="63"/>
    </row>
    <row r="17" spans="2:13" x14ac:dyDescent="0.3">
      <c r="B17" s="42" t="s">
        <v>144</v>
      </c>
      <c r="C17" s="62">
        <f>C16*C15</f>
        <v>54580.159656963733</v>
      </c>
      <c r="D17" s="63"/>
      <c r="E17" s="63"/>
      <c r="F17" s="63"/>
      <c r="G17" s="63"/>
      <c r="H17" s="63"/>
      <c r="I17" s="63"/>
      <c r="J17" s="63"/>
      <c r="K17" s="63"/>
      <c r="L17" s="63"/>
      <c r="M17" s="63"/>
    </row>
    <row r="18" spans="2:13" x14ac:dyDescent="0.3">
      <c r="B18" s="42" t="s">
        <v>145</v>
      </c>
      <c r="C18" s="94">
        <f>Assumptions!G31</f>
        <v>6154.9</v>
      </c>
      <c r="D18" s="63"/>
      <c r="E18" s="63"/>
      <c r="F18" s="63"/>
      <c r="G18" s="63"/>
      <c r="H18" s="63"/>
      <c r="I18" s="63"/>
      <c r="J18" s="63"/>
      <c r="K18" s="63"/>
      <c r="L18" s="63"/>
      <c r="M18" s="63"/>
    </row>
    <row r="19" spans="2:13" x14ac:dyDescent="0.3">
      <c r="B19" s="42" t="s">
        <v>146</v>
      </c>
      <c r="C19" s="94">
        <f>'Balance Sheet'!G14</f>
        <v>118.9</v>
      </c>
      <c r="D19" s="63"/>
      <c r="E19" s="63"/>
      <c r="F19" s="63"/>
      <c r="G19" s="63"/>
      <c r="H19" s="63"/>
      <c r="I19" s="63"/>
      <c r="J19" s="63"/>
      <c r="K19" s="63"/>
      <c r="L19" s="63"/>
      <c r="M19" s="63"/>
    </row>
    <row r="20" spans="2:13" x14ac:dyDescent="0.3">
      <c r="B20" s="42" t="s">
        <v>131</v>
      </c>
      <c r="C20" s="62">
        <f>C17-C18+C19</f>
        <v>48544.159656963733</v>
      </c>
      <c r="D20" s="63"/>
      <c r="E20" s="63"/>
      <c r="F20" s="63"/>
      <c r="G20" s="63"/>
      <c r="H20" s="63"/>
      <c r="I20" s="63"/>
      <c r="J20" s="63"/>
      <c r="K20" s="63"/>
      <c r="L20" s="63"/>
      <c r="M20" s="63"/>
    </row>
    <row r="21" spans="2:13" x14ac:dyDescent="0.3">
      <c r="B21" s="42" t="s">
        <v>132</v>
      </c>
      <c r="C21" s="83">
        <v>119.2</v>
      </c>
      <c r="D21" s="63"/>
      <c r="E21" s="63"/>
      <c r="F21" s="63"/>
      <c r="G21" s="63"/>
      <c r="H21" s="63"/>
      <c r="I21" s="63"/>
      <c r="J21" s="63"/>
      <c r="K21" s="63"/>
      <c r="L21" s="63"/>
      <c r="M21" s="63"/>
    </row>
    <row r="22" spans="2:13" ht="26" x14ac:dyDescent="0.3">
      <c r="B22" s="53" t="s">
        <v>147</v>
      </c>
      <c r="C22" s="66">
        <f>C20/C21</f>
        <v>407.24966155170915</v>
      </c>
      <c r="D22" s="63"/>
      <c r="E22" s="63"/>
      <c r="F22" s="63"/>
      <c r="G22" s="63"/>
      <c r="H22" s="63"/>
      <c r="I22" s="63"/>
      <c r="J22" s="63"/>
      <c r="K22" s="63"/>
      <c r="L22" s="63"/>
      <c r="M22" s="63"/>
    </row>
  </sheetData>
  <mergeCells count="19">
    <mergeCell ref="M4:M6"/>
    <mergeCell ref="G4:G6"/>
    <mergeCell ref="H4:H6"/>
    <mergeCell ref="I4:I6"/>
    <mergeCell ref="J4:J6"/>
    <mergeCell ref="K4:K6"/>
    <mergeCell ref="L4:L6"/>
    <mergeCell ref="B1:M1"/>
    <mergeCell ref="C2:E3"/>
    <mergeCell ref="B2:B6"/>
    <mergeCell ref="C4:C6"/>
    <mergeCell ref="D4:D6"/>
    <mergeCell ref="E4:E6"/>
    <mergeCell ref="F4:F6"/>
    <mergeCell ref="F2:F3"/>
    <mergeCell ref="G2:G3"/>
    <mergeCell ref="H2:I3"/>
    <mergeCell ref="J2:K3"/>
    <mergeCell ref="L2:M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Cover</vt:lpstr>
      <vt:lpstr>Checks</vt:lpstr>
      <vt:lpstr>Assumptions</vt:lpstr>
      <vt:lpstr>Income Statement</vt:lpstr>
      <vt:lpstr>Balance Sheet</vt:lpstr>
      <vt:lpstr>Cash Flow Statement</vt:lpstr>
      <vt:lpstr>DCF</vt:lpstr>
      <vt:lpstr>Comps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cgpju</dc:creator>
  <cp:lastModifiedBy>cgpju</cp:lastModifiedBy>
  <dcterms:created xsi:type="dcterms:W3CDTF">2026-04-14T07:23:34Z</dcterms:created>
  <dcterms:modified xsi:type="dcterms:W3CDTF">2026-04-19T08:46:35Z</dcterms:modified>
</cp:coreProperties>
</file>